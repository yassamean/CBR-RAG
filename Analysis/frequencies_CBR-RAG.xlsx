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1402\Desktop\Master Thesis\Datensatz\"/>
    </mc:Choice>
  </mc:AlternateContent>
  <xr:revisionPtr revIDLastSave="0" documentId="13_ncr:1_{A28811D7-2DE6-4A09-AC6A-674BB078A6C9}" xr6:coauthVersionLast="47" xr6:coauthVersionMax="47" xr10:uidLastSave="{00000000-0000-0000-0000-000000000000}"/>
  <bookViews>
    <workbookView xWindow="-110" yWindow="-110" windowWidth="19420" windowHeight="11500" activeTab="1" xr2:uid="{B675CD3B-117F-462A-A15C-FB502C6CCE75}"/>
  </bookViews>
  <sheets>
    <sheet name="frequencies_CBR-RAG_2026-03-31_" sheetId="1" r:id="rId1"/>
    <sheet name="Visualization" sheetId="16" r:id="rId2"/>
    <sheet name="helpfulness_RAG" sheetId="2" r:id="rId3"/>
    <sheet name="helpfulness_LLM" sheetId="3" r:id="rId4"/>
    <sheet name="clarity_RAG" sheetId="4" r:id="rId5"/>
    <sheet name="clarity_LLM" sheetId="5" r:id="rId6"/>
    <sheet name="naturalness_RAG" sheetId="6" r:id="rId7"/>
    <sheet name="naturalness_LLM" sheetId="7" r:id="rId8"/>
    <sheet name="length_appropriateness _RAG" sheetId="8" r:id="rId9"/>
    <sheet name="length_appropriateness _LLM" sheetId="9" r:id="rId10"/>
    <sheet name="trustworthiness_RAG " sheetId="10" r:id="rId11"/>
    <sheet name="trustworthiness_LLM " sheetId="11" r:id="rId12"/>
    <sheet name="process_grounding_RAG" sheetId="12" r:id="rId13"/>
    <sheet name="process_grounding_LLM" sheetId="13" r:id="rId14"/>
  </sheets>
  <definedNames>
    <definedName name="_xlnm._FilterDatabase" localSheetId="5" hidden="1">clarity_LLM!$A$1:$P$1</definedName>
    <definedName name="_xlnm._FilterDatabase" localSheetId="0" hidden="1">'frequencies_CBR-RAG_2026-03-31_'!$A$1:$O$247</definedName>
    <definedName name="_xlnm._FilterDatabase" localSheetId="9" hidden="1">'length_appropriateness _LLM'!$A$1:$P$1</definedName>
    <definedName name="_xlnm._FilterDatabase" localSheetId="8" hidden="1">'length_appropriateness _RAG'!$A$1:$P$1</definedName>
    <definedName name="_xlnm._FilterDatabase" localSheetId="6" hidden="1">naturalness_RAG!$A$1:$P$1</definedName>
    <definedName name="_xlnm._FilterDatabase" localSheetId="12" hidden="1">process_grounding_RAG!$A$1:$P$1</definedName>
    <definedName name="_xlnm._FilterDatabase" localSheetId="11" hidden="1">'trustworthiness_LLM 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15" i="4"/>
  <c r="E2" i="4"/>
  <c r="E19" i="4"/>
  <c r="E18" i="4"/>
  <c r="E17" i="4"/>
  <c r="E16" i="4"/>
  <c r="E14" i="4"/>
  <c r="E13" i="4"/>
  <c r="E12" i="4"/>
  <c r="E11" i="4"/>
  <c r="E10" i="4"/>
  <c r="E9" i="4"/>
  <c r="E8" i="4"/>
  <c r="E7" i="4"/>
  <c r="E6" i="4"/>
  <c r="E5" i="4"/>
  <c r="E4" i="4"/>
  <c r="E3" i="4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  <c r="G22" i="3"/>
  <c r="G23" i="3" s="1"/>
  <c r="H23" i="3" s="1"/>
  <c r="G25" i="3"/>
  <c r="G26" i="3" s="1"/>
  <c r="G26" i="2"/>
  <c r="G27" i="2" s="1"/>
  <c r="G23" i="2"/>
  <c r="G24" i="2" s="1"/>
  <c r="H24" i="2" s="1"/>
  <c r="G26" i="13"/>
  <c r="G27" i="13" s="1"/>
  <c r="G23" i="13"/>
  <c r="G24" i="13" s="1"/>
  <c r="H24" i="13" s="1"/>
  <c r="G26" i="12"/>
  <c r="G27" i="12" s="1"/>
  <c r="G23" i="12"/>
  <c r="G24" i="12" s="1"/>
  <c r="H24" i="12" s="1"/>
  <c r="G23" i="11"/>
  <c r="G24" i="11" s="1"/>
  <c r="H24" i="11" s="1"/>
  <c r="G26" i="11"/>
  <c r="G27" i="11" s="1"/>
  <c r="G26" i="10"/>
  <c r="G27" i="10" s="1"/>
  <c r="G23" i="10"/>
  <c r="G24" i="10" s="1"/>
  <c r="H24" i="10" s="1"/>
  <c r="G26" i="9"/>
  <c r="G27" i="9" s="1"/>
  <c r="G23" i="9"/>
  <c r="G24" i="9" s="1"/>
  <c r="H24" i="9" s="1"/>
  <c r="G25" i="8"/>
  <c r="G26" i="8" s="1"/>
  <c r="G22" i="8"/>
  <c r="G23" i="8" s="1"/>
  <c r="H23" i="8" s="1"/>
  <c r="G25" i="7"/>
  <c r="G26" i="7" s="1"/>
  <c r="G25" i="6"/>
  <c r="G26" i="6" s="1"/>
  <c r="G25" i="4"/>
  <c r="G26" i="4" s="1"/>
  <c r="G25" i="5"/>
  <c r="G26" i="5" s="1"/>
  <c r="G22" i="7"/>
  <c r="G23" i="7" s="1"/>
  <c r="H23" i="7" s="1"/>
  <c r="G22" i="6"/>
  <c r="G23" i="6" s="1"/>
  <c r="H23" i="6" s="1"/>
  <c r="G23" i="4"/>
  <c r="H23" i="4" s="1"/>
  <c r="G22" i="4"/>
  <c r="G22" i="5"/>
  <c r="G23" i="5" s="1"/>
  <c r="H23" i="5" s="1"/>
</calcChain>
</file>

<file path=xl/sharedStrings.xml><?xml version="1.0" encoding="utf-8"?>
<sst xmlns="http://schemas.openxmlformats.org/spreadsheetml/2006/main" count="1210" uniqueCount="527">
  <si>
    <t>Var</t>
  </si>
  <si>
    <t>Desc</t>
  </si>
  <si>
    <t>N</t>
  </si>
  <si>
    <t>Missing</t>
  </si>
  <si>
    <t>M</t>
  </si>
  <si>
    <t>SD</t>
  </si>
  <si>
    <t>Min</t>
  </si>
  <si>
    <t>Max</t>
  </si>
  <si>
    <t>other</t>
  </si>
  <si>
    <t>STARTED</t>
  </si>
  <si>
    <t>Time the interview has started (Europe/Berlin)</t>
  </si>
  <si>
    <t>D001</t>
  </si>
  <si>
    <t>Age</t>
  </si>
  <si>
    <t>D002</t>
  </si>
  <si>
    <t>Gender</t>
  </si>
  <si>
    <t>Q101_01</t>
  </si>
  <si>
    <t>1: The answer is helpful</t>
  </si>
  <si>
    <t>Q101_02</t>
  </si>
  <si>
    <t>1: This answer is easy to follow</t>
  </si>
  <si>
    <t>Q101_03</t>
  </si>
  <si>
    <t>1: This answer sounds natural</t>
  </si>
  <si>
    <t>Q101_04</t>
  </si>
  <si>
    <t>1: This answer is the right length</t>
  </si>
  <si>
    <t>Q101_05</t>
  </si>
  <si>
    <t>1: I trust this answer</t>
  </si>
  <si>
    <t>Q101_06</t>
  </si>
  <si>
    <t>1: This answer matches the process model (grounded)</t>
  </si>
  <si>
    <t>Q111_06</t>
  </si>
  <si>
    <t>11: This answer matches the process model (grounded)</t>
  </si>
  <si>
    <t>Q102_01</t>
  </si>
  <si>
    <t>2: The answer is helpful</t>
  </si>
  <si>
    <t>Q111_02</t>
  </si>
  <si>
    <t>11: This answer is easy to follow</t>
  </si>
  <si>
    <t>Q111_03</t>
  </si>
  <si>
    <t>11: This answer sounds natural</t>
  </si>
  <si>
    <t>Q111_04</t>
  </si>
  <si>
    <t>11: This answer is the right length</t>
  </si>
  <si>
    <t>Q111_05</t>
  </si>
  <si>
    <t>11: I trust this answer</t>
  </si>
  <si>
    <t>Q112_06</t>
  </si>
  <si>
    <t>12: This answer matches the process model (grounded)</t>
  </si>
  <si>
    <t>Q103_01</t>
  </si>
  <si>
    <t>3: The answer is helpful</t>
  </si>
  <si>
    <t>Q112_02</t>
  </si>
  <si>
    <t>12: This answer is easy to follow</t>
  </si>
  <si>
    <t>Q112_03</t>
  </si>
  <si>
    <t>12: This answer sounds natural</t>
  </si>
  <si>
    <t>Q112_04</t>
  </si>
  <si>
    <t>12: This answer is the right length</t>
  </si>
  <si>
    <t>Q112_05</t>
  </si>
  <si>
    <t>12: I trust this answer</t>
  </si>
  <si>
    <t>Q104_01</t>
  </si>
  <si>
    <t>4: The answer is helpful</t>
  </si>
  <si>
    <t>Q102_02</t>
  </si>
  <si>
    <t>2: This answer is easy to follow</t>
  </si>
  <si>
    <t>Q102_03</t>
  </si>
  <si>
    <t>2: This answer sounds natural</t>
  </si>
  <si>
    <t>Q102_04</t>
  </si>
  <si>
    <t>2: This answer is the right length</t>
  </si>
  <si>
    <t>Q102_05</t>
  </si>
  <si>
    <t>2: I trust this answer</t>
  </si>
  <si>
    <t>Q102_06</t>
  </si>
  <si>
    <t>2: This answer matches the process model (grounded)</t>
  </si>
  <si>
    <t>Q105_06</t>
  </si>
  <si>
    <t>5: This answer matches the process model (grounded)</t>
  </si>
  <si>
    <t>Q105_01</t>
  </si>
  <si>
    <t>5: The answer is helpful</t>
  </si>
  <si>
    <t>Q105_02</t>
  </si>
  <si>
    <t>5: This answer is easy to follow</t>
  </si>
  <si>
    <t>Q105_03</t>
  </si>
  <si>
    <t>5: This answer sounds natural</t>
  </si>
  <si>
    <t>Q105_04</t>
  </si>
  <si>
    <t>5: This answer is the right length</t>
  </si>
  <si>
    <t>Q105_05</t>
  </si>
  <si>
    <t>5: I trust this answer</t>
  </si>
  <si>
    <t>Q106_06</t>
  </si>
  <si>
    <t>6: This answer matches the process model (grounded)</t>
  </si>
  <si>
    <t>Q106_01</t>
  </si>
  <si>
    <t>6: The answer is helpful</t>
  </si>
  <si>
    <t>Q106_02</t>
  </si>
  <si>
    <t>6: This answer is easy to follow</t>
  </si>
  <si>
    <t>Q106_03</t>
  </si>
  <si>
    <t>6: This answer sounds natural</t>
  </si>
  <si>
    <t>Q106_04</t>
  </si>
  <si>
    <t>6: This answer is the right length</t>
  </si>
  <si>
    <t>Q106_05</t>
  </si>
  <si>
    <t>6: I trust this answer</t>
  </si>
  <si>
    <t>Q123_06</t>
  </si>
  <si>
    <t>8: This answer matches the process model (grounded)</t>
  </si>
  <si>
    <t>Q108_01</t>
  </si>
  <si>
    <t>7: The answer is helpful</t>
  </si>
  <si>
    <t>Q123_02</t>
  </si>
  <si>
    <t>8: This answer is easy to follow</t>
  </si>
  <si>
    <t>Q123_03</t>
  </si>
  <si>
    <t>8: This answer sounds natural</t>
  </si>
  <si>
    <t>Q123_04</t>
  </si>
  <si>
    <t>8: This answer is the right length</t>
  </si>
  <si>
    <t>Q123_05</t>
  </si>
  <si>
    <t>8: I trust this answer</t>
  </si>
  <si>
    <t>Q113_06</t>
  </si>
  <si>
    <t>13: This answer matches the process model (grounded)</t>
  </si>
  <si>
    <t>Q109_01</t>
  </si>
  <si>
    <t>9: The answer is helpful</t>
  </si>
  <si>
    <t>Q113_02</t>
  </si>
  <si>
    <t>13: This answer is easy to follow</t>
  </si>
  <si>
    <t>Q113_03</t>
  </si>
  <si>
    <t>13: This answer sounds natural</t>
  </si>
  <si>
    <t>Q113_04</t>
  </si>
  <si>
    <t>13: This answer is the right length</t>
  </si>
  <si>
    <t>Q113_05</t>
  </si>
  <si>
    <t>13: I trust this answer</t>
  </si>
  <si>
    <t>Q115_06</t>
  </si>
  <si>
    <t>15: This answer matches the process model (grounded)</t>
  </si>
  <si>
    <t>Q110_01</t>
  </si>
  <si>
    <t>10: The answer is helpful</t>
  </si>
  <si>
    <t>Q115_02</t>
  </si>
  <si>
    <t>15: This answer is easy to follow</t>
  </si>
  <si>
    <t>Q115_03</t>
  </si>
  <si>
    <t>15: This answer sounds natural</t>
  </si>
  <si>
    <t>Q115_04</t>
  </si>
  <si>
    <t>15: This answer is the right length</t>
  </si>
  <si>
    <t>Q115_05</t>
  </si>
  <si>
    <t>15: I trust this answer</t>
  </si>
  <si>
    <t>Q119_06</t>
  </si>
  <si>
    <t>19: This answer matches the process model (grounded)</t>
  </si>
  <si>
    <t>Q111_01</t>
  </si>
  <si>
    <t>11: The answer is helpful</t>
  </si>
  <si>
    <t>Q119_02</t>
  </si>
  <si>
    <t>19: This answer is easy to follow</t>
  </si>
  <si>
    <t>Q119_03</t>
  </si>
  <si>
    <t>19: This answer sounds natural</t>
  </si>
  <si>
    <t>Q119_04</t>
  </si>
  <si>
    <t>19: This answer is the right length</t>
  </si>
  <si>
    <t>Q119_05</t>
  </si>
  <si>
    <t>19: I trust this answer</t>
  </si>
  <si>
    <t>Q120_06</t>
  </si>
  <si>
    <t>20: This answer matches the process model (grounded)</t>
  </si>
  <si>
    <t>Q112_01</t>
  </si>
  <si>
    <t>12: The answer is helpful</t>
  </si>
  <si>
    <t>Q120_02</t>
  </si>
  <si>
    <t>20: This answer is easy to follow</t>
  </si>
  <si>
    <t>Q120_03</t>
  </si>
  <si>
    <t>20: This answer sounds natural</t>
  </si>
  <si>
    <t>Q120_04</t>
  </si>
  <si>
    <t>20: This answer is the right length</t>
  </si>
  <si>
    <t>Q120_05</t>
  </si>
  <si>
    <t>20: I trust this answer</t>
  </si>
  <si>
    <t>Q117_06</t>
  </si>
  <si>
    <t>17: This answer matches the process model (grounded)</t>
  </si>
  <si>
    <t>Q113_01</t>
  </si>
  <si>
    <t>13: The answer is helpful</t>
  </si>
  <si>
    <t>Q117_02</t>
  </si>
  <si>
    <t>17: This answer is easy to follow</t>
  </si>
  <si>
    <t>Q117_03</t>
  </si>
  <si>
    <t>17: This answer sounds natural</t>
  </si>
  <si>
    <t>Q117_04</t>
  </si>
  <si>
    <t>17: This answer is the right length</t>
  </si>
  <si>
    <t>Q117_05</t>
  </si>
  <si>
    <t>17: I trust this answer</t>
  </si>
  <si>
    <t>Q121_06</t>
  </si>
  <si>
    <t>21: This answer matches the process model (grounded)</t>
  </si>
  <si>
    <t>Q114_01</t>
  </si>
  <si>
    <t>14: The answer is helpful</t>
  </si>
  <si>
    <t>Q121_02</t>
  </si>
  <si>
    <t>21: This answer is easy to follow</t>
  </si>
  <si>
    <t>Q121_03</t>
  </si>
  <si>
    <t>21: This answer sounds natural</t>
  </si>
  <si>
    <t>Q121_04</t>
  </si>
  <si>
    <t>21: This answer is the right length</t>
  </si>
  <si>
    <t>Q121_05</t>
  </si>
  <si>
    <t>21: I trust this answer</t>
  </si>
  <si>
    <t>Q135_06</t>
  </si>
  <si>
    <t>23: This answer matches the process model (grounded)</t>
  </si>
  <si>
    <t>Q115_01</t>
  </si>
  <si>
    <t>15: The answer is helpful</t>
  </si>
  <si>
    <t>Q135_02</t>
  </si>
  <si>
    <t>23: This answer is easy to follow</t>
  </si>
  <si>
    <t>Q135_03</t>
  </si>
  <si>
    <t>23: This answer sounds natural</t>
  </si>
  <si>
    <t>Q135_04</t>
  </si>
  <si>
    <t>23: This answer is the right length</t>
  </si>
  <si>
    <t>Q135_05</t>
  </si>
  <si>
    <t>23: I trust this answer</t>
  </si>
  <si>
    <t>Q137_06</t>
  </si>
  <si>
    <t>25: This answer matches the process model (grounded)</t>
  </si>
  <si>
    <t>Q116_01</t>
  </si>
  <si>
    <t>16: The answer is helpful</t>
  </si>
  <si>
    <t>Q137_02</t>
  </si>
  <si>
    <t>25: This answer is easy to follow</t>
  </si>
  <si>
    <t>Q137_03</t>
  </si>
  <si>
    <t>25: This answer sounds natural</t>
  </si>
  <si>
    <t>Q137_04</t>
  </si>
  <si>
    <t>25: This answer is the right length</t>
  </si>
  <si>
    <t>Q137_05</t>
  </si>
  <si>
    <t>25: I trust this answer</t>
  </si>
  <si>
    <t>Q139_06</t>
  </si>
  <si>
    <t>27: This answer matches the process model (grounded)</t>
  </si>
  <si>
    <t>Q117_01</t>
  </si>
  <si>
    <t>17: The answer is helpful</t>
  </si>
  <si>
    <t>Q139_02</t>
  </si>
  <si>
    <t>27: This answer is easy to follow</t>
  </si>
  <si>
    <t>Q139_03</t>
  </si>
  <si>
    <t>27: This answer sounds natural</t>
  </si>
  <si>
    <t>Q139_04</t>
  </si>
  <si>
    <t>27: This answer is the right length</t>
  </si>
  <si>
    <t>Q139_05</t>
  </si>
  <si>
    <t>27: I trust this answer</t>
  </si>
  <si>
    <t>Q141_06</t>
  </si>
  <si>
    <t>29: This answer matches the process model (grounded)</t>
  </si>
  <si>
    <t>Q118_01</t>
  </si>
  <si>
    <t>18: The answer is helpful</t>
  </si>
  <si>
    <t>Q141_02</t>
  </si>
  <si>
    <t>29: This answer is easy to follow</t>
  </si>
  <si>
    <t>Q141_03</t>
  </si>
  <si>
    <t>29: This answer sounds natural</t>
  </si>
  <si>
    <t>Q141_04</t>
  </si>
  <si>
    <t>29: This answer is the right length</t>
  </si>
  <si>
    <t>Q141_05</t>
  </si>
  <si>
    <t>29: I trust this answer</t>
  </si>
  <si>
    <t>Q143_06</t>
  </si>
  <si>
    <t>31: This answer matches the process model (grounded)</t>
  </si>
  <si>
    <t>Q119_01</t>
  </si>
  <si>
    <t>19: The answer is helpful</t>
  </si>
  <si>
    <t>Q143_02</t>
  </si>
  <si>
    <t>31: This answer is easy to follow</t>
  </si>
  <si>
    <t>Q143_03</t>
  </si>
  <si>
    <t>31: This answer sounds natural</t>
  </si>
  <si>
    <t>Q143_04</t>
  </si>
  <si>
    <t>31: This answer is the right length</t>
  </si>
  <si>
    <t>Q143_05</t>
  </si>
  <si>
    <t>31: I trust this answer</t>
  </si>
  <si>
    <t>Q145_06</t>
  </si>
  <si>
    <t>33: This answer matches the process model (grounded)</t>
  </si>
  <si>
    <t>Q120_01</t>
  </si>
  <si>
    <t>20: The answer is helpful</t>
  </si>
  <si>
    <t>Q145_02</t>
  </si>
  <si>
    <t>33: This answer is easy to follow</t>
  </si>
  <si>
    <t>Q145_03</t>
  </si>
  <si>
    <t>33: This answer sounds natural</t>
  </si>
  <si>
    <t>Q145_04</t>
  </si>
  <si>
    <t>33: This answer is the right length</t>
  </si>
  <si>
    <t>Q145_05</t>
  </si>
  <si>
    <t>33: I trust this answer</t>
  </si>
  <si>
    <t>Q147_06</t>
  </si>
  <si>
    <t>35: This answer matches the process model (grounded)</t>
  </si>
  <si>
    <t>Q121_01</t>
  </si>
  <si>
    <t>21: The answer is helpful</t>
  </si>
  <si>
    <t>Q147_02</t>
  </si>
  <si>
    <t>35: This answer is easy to follow</t>
  </si>
  <si>
    <t>Q147_03</t>
  </si>
  <si>
    <t>35: This answer sounds natural</t>
  </si>
  <si>
    <t>Q147_04</t>
  </si>
  <si>
    <t>35: This answer is the right length</t>
  </si>
  <si>
    <t>Q147_05</t>
  </si>
  <si>
    <t>35: I trust this answer</t>
  </si>
  <si>
    <t>Q148_06</t>
  </si>
  <si>
    <t>36: This answer matches the process model (grounded)</t>
  </si>
  <si>
    <t>Q122_01</t>
  </si>
  <si>
    <t>22: The answer is helpful</t>
  </si>
  <si>
    <t>Q148_02</t>
  </si>
  <si>
    <t>36: This answer is easy to follow</t>
  </si>
  <si>
    <t>Q148_03</t>
  </si>
  <si>
    <t>36: This answer sounds natural</t>
  </si>
  <si>
    <t>Q148_04</t>
  </si>
  <si>
    <t>36: This answer is the right length</t>
  </si>
  <si>
    <t>Q148_05</t>
  </si>
  <si>
    <t>36: I trust this answer</t>
  </si>
  <si>
    <t>Q146_06</t>
  </si>
  <si>
    <t>34: This answer matches the process model (grounded)</t>
  </si>
  <si>
    <t>Q123_01</t>
  </si>
  <si>
    <t>8: The answer is helpful</t>
  </si>
  <si>
    <t>Q146_02</t>
  </si>
  <si>
    <t>34: This answer is easy to follow</t>
  </si>
  <si>
    <t>Q146_03</t>
  </si>
  <si>
    <t>34: This answer sounds natural</t>
  </si>
  <si>
    <t>Q146_04</t>
  </si>
  <si>
    <t>34: This answer is the right length</t>
  </si>
  <si>
    <t>Q146_05</t>
  </si>
  <si>
    <t>34: I trust this answer</t>
  </si>
  <si>
    <t>Q144_06</t>
  </si>
  <si>
    <t>32: This answer matches the process model (grounded)</t>
  </si>
  <si>
    <t>Q135_01</t>
  </si>
  <si>
    <t>23: The answer is helpful</t>
  </si>
  <si>
    <t>Q144_02</t>
  </si>
  <si>
    <t>32: This answer is easy to follow</t>
  </si>
  <si>
    <t>Q144_03</t>
  </si>
  <si>
    <t>32: This answer sounds natural</t>
  </si>
  <si>
    <t>Q144_04</t>
  </si>
  <si>
    <t>32: This answer is the right length</t>
  </si>
  <si>
    <t>Q144_05</t>
  </si>
  <si>
    <t>32: I trust this answer</t>
  </si>
  <si>
    <t>Q142_06</t>
  </si>
  <si>
    <t>30: This answer matches the process model (grounded)</t>
  </si>
  <si>
    <t>Q136_01</t>
  </si>
  <si>
    <t>24: The answer is helpful</t>
  </si>
  <si>
    <t>Q142_02</t>
  </si>
  <si>
    <t>30: This answer is easy to follow</t>
  </si>
  <si>
    <t>Q142_03</t>
  </si>
  <si>
    <t>30: This answer sounds natural</t>
  </si>
  <si>
    <t>Q142_04</t>
  </si>
  <si>
    <t>30: This answer is the right length</t>
  </si>
  <si>
    <t>Q142_05</t>
  </si>
  <si>
    <t>30: I trust this answer</t>
  </si>
  <si>
    <t>Q140_06</t>
  </si>
  <si>
    <t>28: This answer matches the process model (grounded)</t>
  </si>
  <si>
    <t>Q137_01</t>
  </si>
  <si>
    <t>25: The answer is helpful</t>
  </si>
  <si>
    <t>Q140_02</t>
  </si>
  <si>
    <t>28: This answer is easy to follow</t>
  </si>
  <si>
    <t>Q140_03</t>
  </si>
  <si>
    <t>28: This answer sounds natural</t>
  </si>
  <si>
    <t>Q140_04</t>
  </si>
  <si>
    <t>28: This answer is the right length</t>
  </si>
  <si>
    <t>Q140_05</t>
  </si>
  <si>
    <t>28: I trust this answer</t>
  </si>
  <si>
    <t>Q138_06</t>
  </si>
  <si>
    <t>26: This answer matches the process model (grounded)</t>
  </si>
  <si>
    <t>Q138_01</t>
  </si>
  <si>
    <t>26: The answer is helpful</t>
  </si>
  <si>
    <t>Q138_02</t>
  </si>
  <si>
    <t>26: This answer is easy to follow</t>
  </si>
  <si>
    <t>Q138_03</t>
  </si>
  <si>
    <t>26: This answer sounds natural</t>
  </si>
  <si>
    <t>Q138_04</t>
  </si>
  <si>
    <t>26: This answer is the right length</t>
  </si>
  <si>
    <t>Q138_05</t>
  </si>
  <si>
    <t>26: I trust this answer</t>
  </si>
  <si>
    <t>Q136_06</t>
  </si>
  <si>
    <t>24: This answer matches the process model (grounded)</t>
  </si>
  <si>
    <t>Q139_01</t>
  </si>
  <si>
    <t>27: The answer is helpful</t>
  </si>
  <si>
    <t>Q136_02</t>
  </si>
  <si>
    <t>24: This answer is easy to follow</t>
  </si>
  <si>
    <t>Q136_03</t>
  </si>
  <si>
    <t>24: This answer sounds natural</t>
  </si>
  <si>
    <t>Q136_04</t>
  </si>
  <si>
    <t>24: This answer is the right length</t>
  </si>
  <si>
    <t>Q136_05</t>
  </si>
  <si>
    <t>24: I trust this answer</t>
  </si>
  <si>
    <t>Q122_06</t>
  </si>
  <si>
    <t>22: This answer matches the process model (grounded)</t>
  </si>
  <si>
    <t>Q140_01</t>
  </si>
  <si>
    <t>28: The answer is helpful</t>
  </si>
  <si>
    <t>Q122_02</t>
  </si>
  <si>
    <t>22: This answer is easy to follow</t>
  </si>
  <si>
    <t>Q122_03</t>
  </si>
  <si>
    <t>22: This answer sounds natural</t>
  </si>
  <si>
    <t>Q122_04</t>
  </si>
  <si>
    <t>22: This answer is the right length</t>
  </si>
  <si>
    <t>Q122_05</t>
  </si>
  <si>
    <t>22: I trust this answer</t>
  </si>
  <si>
    <t>Q118_06</t>
  </si>
  <si>
    <t>18: This answer matches the process model (grounded)</t>
  </si>
  <si>
    <t>Q141_01</t>
  </si>
  <si>
    <t>29: The answer is helpful</t>
  </si>
  <si>
    <t>Q118_02</t>
  </si>
  <si>
    <t>18: This answer is easy to follow</t>
  </si>
  <si>
    <t>Q118_03</t>
  </si>
  <si>
    <t>18: This answer sounds natural</t>
  </si>
  <si>
    <t>Q118_04</t>
  </si>
  <si>
    <t>18: This answer is the right length</t>
  </si>
  <si>
    <t>Q118_05</t>
  </si>
  <si>
    <t>18: I trust this answer</t>
  </si>
  <si>
    <t>Q116_06</t>
  </si>
  <si>
    <t>16: This answer matches the process model (grounded)</t>
  </si>
  <si>
    <t>Q142_01</t>
  </si>
  <si>
    <t>30: The answer is helpful</t>
  </si>
  <si>
    <t>Q116_02</t>
  </si>
  <si>
    <t>16: This answer is easy to follow</t>
  </si>
  <si>
    <t>Q116_03</t>
  </si>
  <si>
    <t>16: This answer sounds natural</t>
  </si>
  <si>
    <t>Q116_04</t>
  </si>
  <si>
    <t>16: This answer is the right length</t>
  </si>
  <si>
    <t>Q116_05</t>
  </si>
  <si>
    <t>16: I trust this answer</t>
  </si>
  <si>
    <t>Q114_06</t>
  </si>
  <si>
    <t>14: This answer matches the process model (grounded)</t>
  </si>
  <si>
    <t>Q143_01</t>
  </si>
  <si>
    <t>31: The answer is helpful</t>
  </si>
  <si>
    <t>Q114_02</t>
  </si>
  <si>
    <t>14: This answer is easy to follow</t>
  </si>
  <si>
    <t>Q114_03</t>
  </si>
  <si>
    <t>14: This answer sounds natural</t>
  </si>
  <si>
    <t>Q114_04</t>
  </si>
  <si>
    <t>14: This answer is the right length</t>
  </si>
  <si>
    <t>Q114_05</t>
  </si>
  <si>
    <t>14: I trust this answer</t>
  </si>
  <si>
    <t>Q109_06</t>
  </si>
  <si>
    <t>9: This answer matches the process model (grounded)</t>
  </si>
  <si>
    <t>Q144_01</t>
  </si>
  <si>
    <t>32: The answer is helpful</t>
  </si>
  <si>
    <t>Q109_02</t>
  </si>
  <si>
    <t>9: This answer is easy to follow</t>
  </si>
  <si>
    <t>Q109_03</t>
  </si>
  <si>
    <t>9: This answer sounds natural</t>
  </si>
  <si>
    <t>Q109_04</t>
  </si>
  <si>
    <t>9: This answer is the right length</t>
  </si>
  <si>
    <t>Q109_05</t>
  </si>
  <si>
    <t>9: I trust this answer</t>
  </si>
  <si>
    <t>Q110_06</t>
  </si>
  <si>
    <t>10: This answer matches the process model (grounded)</t>
  </si>
  <si>
    <t>Q145_01</t>
  </si>
  <si>
    <t>33: The answer is helpful</t>
  </si>
  <si>
    <t>Q110_02</t>
  </si>
  <si>
    <t>10: This answer is easy to follow</t>
  </si>
  <si>
    <t>Q110_03</t>
  </si>
  <si>
    <t>10: This answer sounds natural</t>
  </si>
  <si>
    <t>Q110_04</t>
  </si>
  <si>
    <t>10: This answer is the right length</t>
  </si>
  <si>
    <t>Q110_05</t>
  </si>
  <si>
    <t>10: I trust this answer</t>
  </si>
  <si>
    <t>Q108_06</t>
  </si>
  <si>
    <t>7: This answer matches the process model (grounded)</t>
  </si>
  <si>
    <t>Q146_01</t>
  </si>
  <si>
    <t>34: The answer is helpful</t>
  </si>
  <si>
    <t>Q108_02</t>
  </si>
  <si>
    <t>7: This answer is easy to follow</t>
  </si>
  <si>
    <t>Q108_03</t>
  </si>
  <si>
    <t>7: This answer sounds natural</t>
  </si>
  <si>
    <t>Q108_04</t>
  </si>
  <si>
    <t>7: This answer is the right length</t>
  </si>
  <si>
    <t>Q108_05</t>
  </si>
  <si>
    <t>7: I trust this answer</t>
  </si>
  <si>
    <t>Q104_06</t>
  </si>
  <si>
    <t>4: This answer matches the process model (grounded)</t>
  </si>
  <si>
    <t>Q147_01</t>
  </si>
  <si>
    <t>35: The answer is helpful</t>
  </si>
  <si>
    <t>Q104_02</t>
  </si>
  <si>
    <t>4: This answer is easy to follow</t>
  </si>
  <si>
    <t>Q104_03</t>
  </si>
  <si>
    <t>4: This answer sounds natural</t>
  </si>
  <si>
    <t>Q104_04</t>
  </si>
  <si>
    <t>4: This answer is the right length</t>
  </si>
  <si>
    <t>Q104_05</t>
  </si>
  <si>
    <t>4: I trust this answer</t>
  </si>
  <si>
    <t>Q103_06</t>
  </si>
  <si>
    <t>3: This answer matches the process model (grounded)</t>
  </si>
  <si>
    <t>Q148_01</t>
  </si>
  <si>
    <t>36: The answer is helpful</t>
  </si>
  <si>
    <t>Q103_02</t>
  </si>
  <si>
    <t>3: This answer is easy to follow</t>
  </si>
  <si>
    <t>Q103_03</t>
  </si>
  <si>
    <t>3: This answer sounds natural</t>
  </si>
  <si>
    <t>Q103_04</t>
  </si>
  <si>
    <t>3: This answer is the right length</t>
  </si>
  <si>
    <t>Q103_05</t>
  </si>
  <si>
    <t>3: I trust this answer</t>
  </si>
  <si>
    <t>Q124</t>
  </si>
  <si>
    <t>1&amp;2</t>
  </si>
  <si>
    <t>Q125</t>
  </si>
  <si>
    <t>3&amp;4</t>
  </si>
  <si>
    <t>Q129</t>
  </si>
  <si>
    <t>5&amp;6</t>
  </si>
  <si>
    <t>Q130</t>
  </si>
  <si>
    <t>7&amp;8</t>
  </si>
  <si>
    <t>Q131</t>
  </si>
  <si>
    <t>9&amp;10</t>
  </si>
  <si>
    <t>Q132</t>
  </si>
  <si>
    <t>13&amp;14</t>
  </si>
  <si>
    <t>Q133</t>
  </si>
  <si>
    <t>17&amp;18</t>
  </si>
  <si>
    <t>Q134</t>
  </si>
  <si>
    <t>21&amp;22</t>
  </si>
  <si>
    <t>Q149</t>
  </si>
  <si>
    <t>23&amp;24</t>
  </si>
  <si>
    <t>Q150</t>
  </si>
  <si>
    <t>25&amp;26</t>
  </si>
  <si>
    <t>Q151</t>
  </si>
  <si>
    <t>27&amp;28</t>
  </si>
  <si>
    <t>Q152</t>
  </si>
  <si>
    <t>29&amp;30</t>
  </si>
  <si>
    <t>Q153</t>
  </si>
  <si>
    <t>31&amp;32</t>
  </si>
  <si>
    <t>Q154</t>
  </si>
  <si>
    <t>33&amp;34</t>
  </si>
  <si>
    <t>Q155</t>
  </si>
  <si>
    <t>35&amp;36</t>
  </si>
  <si>
    <t>Q126</t>
  </si>
  <si>
    <t>11&amp;12</t>
  </si>
  <si>
    <t>Q127</t>
  </si>
  <si>
    <t>15&amp;16</t>
  </si>
  <si>
    <t>Q128</t>
  </si>
  <si>
    <t>19&amp;20</t>
  </si>
  <si>
    <t>S101</t>
  </si>
  <si>
    <t>BPMN expertise</t>
  </si>
  <si>
    <t>S102</t>
  </si>
  <si>
    <t>Airport knowledge</t>
  </si>
  <si>
    <t>WC01</t>
  </si>
  <si>
    <t>Consent Text: Residual option (negative) or number of selected options</t>
  </si>
  <si>
    <t>WC01_01</t>
  </si>
  <si>
    <t>Consent Text: I have read and understood the participant information sheet above and agree to participate in the study.</t>
  </si>
  <si>
    <t>STATUS</t>
  </si>
  <si>
    <t>Interview status marker</t>
  </si>
  <si>
    <t>FINISHED</t>
  </si>
  <si>
    <t>Has the interview been finished (reached last page)?</t>
  </si>
  <si>
    <t>Q_VIEWER</t>
  </si>
  <si>
    <t>Did the respondent only view the questionnaire, omitting mandatory questions?</t>
  </si>
  <si>
    <t>LASTPAGE</t>
  </si>
  <si>
    <t>Last page that the participant has handled in the questionnaire</t>
  </si>
  <si>
    <t>MAXPAGE</t>
  </si>
  <si>
    <t>Hindmost page handled by the participant</t>
  </si>
  <si>
    <t>SD Sum/18</t>
  </si>
  <si>
    <t xml:space="preserve">SD Sum </t>
  </si>
  <si>
    <t>Mean Sum</t>
  </si>
  <si>
    <t>Mean Sum /18</t>
  </si>
  <si>
    <t>Reverse scale</t>
  </si>
  <si>
    <t>Helpfulness</t>
  </si>
  <si>
    <t>Helpfulness RAG</t>
  </si>
  <si>
    <t>Helpfulness LLM</t>
  </si>
  <si>
    <t>Clarity RAG</t>
  </si>
  <si>
    <t>Clarity LLM</t>
  </si>
  <si>
    <t>Naturalness RAG</t>
  </si>
  <si>
    <t>Naturalness LLM</t>
  </si>
  <si>
    <t>Process Grounding RAG</t>
  </si>
  <si>
    <t>Process Grounding LLM</t>
  </si>
  <si>
    <t>Length Appropriateness RAG</t>
  </si>
  <si>
    <t>Length Appropriateness LLM</t>
  </si>
  <si>
    <t>Trustworthiness RAG</t>
  </si>
  <si>
    <t>Trustworthiness LLM</t>
  </si>
  <si>
    <t>Mean</t>
  </si>
  <si>
    <t>Process Grounding</t>
  </si>
  <si>
    <t>CBR_RAG</t>
  </si>
  <si>
    <t>Plain LLM</t>
  </si>
  <si>
    <t>Clarity</t>
  </si>
  <si>
    <t>Naturalness</t>
  </si>
  <si>
    <t>Length Appropriateness</t>
  </si>
  <si>
    <t>Trustworthiness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</si>
</sst>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0" fillId="34" borderId="0" xfId="0" applyFill="1"/>
    <xf numFmtId="0" fontId="0" fillId="35" borderId="0" xfId="0" applyFill="1"/>
    <xf numFmtId="0" fontId="18" fillId="33" borderId="0" xfId="0" applyFont="1" applyFill="1"/>
    <xf numFmtId="0" fontId="0" fillId="36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>
                <a:solidFill>
                  <a:sysClr val="windowText" lastClr="000000"/>
                </a:solidFill>
              </a:rPr>
              <a:t>Helpfulness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E9-482D-AE92-6B5C7E7B1AFF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7E9-482D-AE92-6B5C7E7B1AFF}"/>
              </c:ext>
            </c:extLst>
          </c:dPt>
          <c:cat>
            <c:strRef>
              <c:f>Visualization!$F$3:$F$4</c:f>
              <c:strCache>
                <c:ptCount val="2"/>
                <c:pt idx="0">
                  <c:v>CBR_RAG</c:v>
                </c:pt>
                <c:pt idx="1">
                  <c:v>Plain LLM</c:v>
                </c:pt>
              </c:strCache>
            </c:strRef>
          </c:cat>
          <c:val>
            <c:numRef>
              <c:f>Visualization!$G$3:$G$4</c:f>
              <c:numCache>
                <c:formatCode>0.00</c:formatCode>
                <c:ptCount val="2"/>
                <c:pt idx="0">
                  <c:v>3.7499888888888888</c:v>
                </c:pt>
                <c:pt idx="1">
                  <c:v>3.7608024692222224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9-482D-AE92-6B5C7E7B1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291600"/>
        <c:axId val="808290520"/>
      </c:barChart>
      <c:catAx>
        <c:axId val="80829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08290520"/>
        <c:crosses val="autoZero"/>
        <c:auto val="1"/>
        <c:lblAlgn val="ctr"/>
        <c:lblOffset val="100"/>
        <c:noMultiLvlLbl val="0"/>
      </c:catAx>
      <c:valAx>
        <c:axId val="808290520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08291600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>
                <a:solidFill>
                  <a:sysClr val="windowText" lastClr="000000"/>
                </a:solidFill>
              </a:rPr>
              <a:t>Clarity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7C8-4797-861B-69DA5B725E19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7C8-4797-861B-69DA5B725E19}"/>
              </c:ext>
            </c:extLst>
          </c:dPt>
          <c:cat>
            <c:strRef>
              <c:f>Visualization!$F$17:$F$18</c:f>
              <c:strCache>
                <c:ptCount val="2"/>
                <c:pt idx="0">
                  <c:v>CBR_RAG</c:v>
                </c:pt>
                <c:pt idx="1">
                  <c:v>Plain LLM</c:v>
                </c:pt>
              </c:strCache>
            </c:strRef>
          </c:cat>
          <c:val>
            <c:numRef>
              <c:f>Visualization!$G$17:$G$18</c:f>
              <c:numCache>
                <c:formatCode>0.00</c:formatCode>
                <c:ptCount val="2"/>
                <c:pt idx="0">
                  <c:v>4.0493827158888891</c:v>
                </c:pt>
                <c:pt idx="1">
                  <c:v>3.8950617283333333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7C8-4797-861B-69DA5B725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291600"/>
        <c:axId val="808290520"/>
      </c:barChart>
      <c:catAx>
        <c:axId val="80829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08290520"/>
        <c:crosses val="autoZero"/>
        <c:auto val="1"/>
        <c:lblAlgn val="ctr"/>
        <c:lblOffset val="100"/>
        <c:noMultiLvlLbl val="0"/>
      </c:catAx>
      <c:valAx>
        <c:axId val="808290520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08291600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>
                <a:solidFill>
                  <a:sysClr val="windowText" lastClr="000000"/>
                </a:solidFill>
              </a:rPr>
              <a:t>Naturalness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56-4D34-AACC-D080EEF877B3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56-4D34-AACC-D080EEF877B3}"/>
              </c:ext>
            </c:extLst>
          </c:dPt>
          <c:cat>
            <c:strRef>
              <c:f>Visualization!$F$31:$F$32</c:f>
              <c:strCache>
                <c:ptCount val="2"/>
                <c:pt idx="0">
                  <c:v>CBR_RAG</c:v>
                </c:pt>
                <c:pt idx="1">
                  <c:v>Plain LLM</c:v>
                </c:pt>
              </c:strCache>
            </c:strRef>
          </c:cat>
          <c:val>
            <c:numRef>
              <c:f>Visualization!$G$31:$G$32</c:f>
              <c:numCache>
                <c:formatCode>0.00</c:formatCode>
                <c:ptCount val="2"/>
                <c:pt idx="0">
                  <c:v>3.7253086419444443</c:v>
                </c:pt>
                <c:pt idx="1">
                  <c:v>3.7314814815555559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56-4D34-AACC-D080EEF87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291600"/>
        <c:axId val="808290520"/>
      </c:barChart>
      <c:catAx>
        <c:axId val="80829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08290520"/>
        <c:crosses val="autoZero"/>
        <c:auto val="1"/>
        <c:lblAlgn val="ctr"/>
        <c:lblOffset val="100"/>
        <c:noMultiLvlLbl val="0"/>
      </c:catAx>
      <c:valAx>
        <c:axId val="808290520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08291600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>
                <a:solidFill>
                  <a:sysClr val="windowText" lastClr="000000"/>
                </a:solidFill>
              </a:rPr>
              <a:t>Length Appropriateness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00-47A9-A187-86721F91AA05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00-47A9-A187-86721F91AA05}"/>
              </c:ext>
            </c:extLst>
          </c:dPt>
          <c:cat>
            <c:strRef>
              <c:f>Visualization!$F$46:$F$47</c:f>
              <c:strCache>
                <c:ptCount val="2"/>
                <c:pt idx="0">
                  <c:v>CBR_RAG</c:v>
                </c:pt>
                <c:pt idx="1">
                  <c:v>Plain LLM</c:v>
                </c:pt>
              </c:strCache>
            </c:strRef>
          </c:cat>
          <c:val>
            <c:numRef>
              <c:f>Visualization!$G$46:$G$47</c:f>
              <c:numCache>
                <c:formatCode>0.00</c:formatCode>
                <c:ptCount val="2"/>
                <c:pt idx="0">
                  <c:v>3.7839506172222221</c:v>
                </c:pt>
                <c:pt idx="1">
                  <c:v>3.7145061727777775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00-47A9-A187-86721F91A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291600"/>
        <c:axId val="808290520"/>
      </c:barChart>
      <c:catAx>
        <c:axId val="80829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08290520"/>
        <c:crosses val="autoZero"/>
        <c:auto val="1"/>
        <c:lblAlgn val="ctr"/>
        <c:lblOffset val="100"/>
        <c:noMultiLvlLbl val="0"/>
      </c:catAx>
      <c:valAx>
        <c:axId val="808290520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08291600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>
                <a:solidFill>
                  <a:sysClr val="windowText" lastClr="000000"/>
                </a:solidFill>
              </a:rPr>
              <a:t>Trustworthiness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599-4893-9982-F5CEE8698908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599-4893-9982-F5CEE8698908}"/>
              </c:ext>
            </c:extLst>
          </c:dPt>
          <c:cat>
            <c:strRef>
              <c:f>Visualization!$F$61:$F$62</c:f>
              <c:strCache>
                <c:ptCount val="2"/>
                <c:pt idx="0">
                  <c:v>CBR_RAG</c:v>
                </c:pt>
                <c:pt idx="1">
                  <c:v>Plain LLM</c:v>
                </c:pt>
              </c:strCache>
            </c:strRef>
          </c:cat>
          <c:val>
            <c:numRef>
              <c:f>Visualization!$G$61:$G$62</c:f>
              <c:numCache>
                <c:formatCode>0.00</c:formatCode>
                <c:ptCount val="2"/>
                <c:pt idx="0">
                  <c:v>3.8395061727222219</c:v>
                </c:pt>
                <c:pt idx="1">
                  <c:v>3.7962962962222222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99-4893-9982-F5CEE8698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291600"/>
        <c:axId val="808290520"/>
      </c:barChart>
      <c:catAx>
        <c:axId val="80829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08290520"/>
        <c:crosses val="autoZero"/>
        <c:auto val="1"/>
        <c:lblAlgn val="ctr"/>
        <c:lblOffset val="100"/>
        <c:noMultiLvlLbl val="0"/>
      </c:catAx>
      <c:valAx>
        <c:axId val="808290520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08291600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>
                <a:solidFill>
                  <a:sysClr val="windowText" lastClr="000000"/>
                </a:solidFill>
              </a:rPr>
              <a:t>Process Grounding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78-4049-A0EB-49398560BEA8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78-4049-A0EB-49398560BEA8}"/>
              </c:ext>
            </c:extLst>
          </c:dPt>
          <c:cat>
            <c:strRef>
              <c:f>Visualization!$F$77:$F$78</c:f>
              <c:strCache>
                <c:ptCount val="2"/>
                <c:pt idx="0">
                  <c:v>CBR_RAG</c:v>
                </c:pt>
                <c:pt idx="1">
                  <c:v>Plain LLM</c:v>
                </c:pt>
              </c:strCache>
            </c:strRef>
          </c:cat>
          <c:val>
            <c:numRef>
              <c:f>Visualization!$G$77:$G$78</c:f>
              <c:numCache>
                <c:formatCode>0.00</c:formatCode>
                <c:ptCount val="2"/>
                <c:pt idx="0">
                  <c:v>4.0385802467777774</c:v>
                </c:pt>
                <c:pt idx="1">
                  <c:v>3.5895061727777779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78-4049-A0EB-49398560B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291600"/>
        <c:axId val="808290520"/>
      </c:barChart>
      <c:catAx>
        <c:axId val="80829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08290520"/>
        <c:crosses val="autoZero"/>
        <c:auto val="1"/>
        <c:lblAlgn val="ctr"/>
        <c:lblOffset val="100"/>
        <c:noMultiLvlLbl val="0"/>
      </c:catAx>
      <c:valAx>
        <c:axId val="808290520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08291600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200" b="0" i="0" u="none" strike="noStrike" baseline="0">
                <a:solidFill>
                  <a:sysClr val="windowText" lastClr="000000"/>
                </a:solidFill>
              </a:rPr>
              <a:t>Mean Ratings per Dimension for CBR-RAG and Plain LLM </a:t>
            </a:r>
          </a:p>
          <a:p>
            <a:pPr>
              <a:defRPr/>
            </a:pPr>
            <a:r>
              <a:rPr lang="de-DE" sz="1000" b="0" i="0" u="none" strike="noStrike" baseline="0">
                <a:solidFill>
                  <a:sysClr val="windowText" lastClr="000000"/>
                </a:solidFill>
              </a:rPr>
              <a:t>(1 = Strongly Disagree, 5 = Strongly Agree)</a:t>
            </a:r>
            <a:endParaRPr lang="de-DE" sz="10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Visualization!$N$4</c:f>
              <c:strCache>
                <c:ptCount val="1"/>
                <c:pt idx="0">
                  <c:v>CBR_RAG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Visualization!$M$5:$M$10</c:f>
              <c:strCache>
                <c:ptCount val="6"/>
                <c:pt idx="0">
                  <c:v>Process Grounding</c:v>
                </c:pt>
                <c:pt idx="1">
                  <c:v>Clarity</c:v>
                </c:pt>
                <c:pt idx="2">
                  <c:v>Length Appropriateness</c:v>
                </c:pt>
                <c:pt idx="3">
                  <c:v>Trustworthiness</c:v>
                </c:pt>
                <c:pt idx="4">
                  <c:v>Helpfulness</c:v>
                </c:pt>
                <c:pt idx="5">
                  <c:v>Naturalness</c:v>
                </c:pt>
              </c:strCache>
            </c:strRef>
          </c:cat>
          <c:val>
            <c:numRef>
              <c:f>Visualization!$N$5:$N$10</c:f>
              <c:numCache>
                <c:formatCode>0.00</c:formatCode>
                <c:ptCount val="6"/>
                <c:pt idx="0">
                  <c:v>4.0385802467777774</c:v>
                </c:pt>
                <c:pt idx="1">
                  <c:v>4.0493827158888891</c:v>
                </c:pt>
                <c:pt idx="2">
                  <c:v>3.7839506172222221</c:v>
                </c:pt>
                <c:pt idx="3">
                  <c:v>3.8395061727222219</c:v>
                </c:pt>
                <c:pt idx="4">
                  <c:v>3.7499888888888888</c:v>
                </c:pt>
                <c:pt idx="5">
                  <c:v>3.7253086419444443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3-4BC3-AAA7-15129EE40B7E}"/>
            </c:ext>
          </c:extLst>
        </c:ser>
        <c:ser>
          <c:idx val="1"/>
          <c:order val="1"/>
          <c:tx>
            <c:strRef>
              <c:f>Visualization!$O$4</c:f>
              <c:strCache>
                <c:ptCount val="1"/>
                <c:pt idx="0">
                  <c:v>Plain LLM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Visualization!$M$5:$M$10</c:f>
              <c:strCache>
                <c:ptCount val="6"/>
                <c:pt idx="0">
                  <c:v>Process Grounding</c:v>
                </c:pt>
                <c:pt idx="1">
                  <c:v>Clarity</c:v>
                </c:pt>
                <c:pt idx="2">
                  <c:v>Length Appropriateness</c:v>
                </c:pt>
                <c:pt idx="3">
                  <c:v>Trustworthiness</c:v>
                </c:pt>
                <c:pt idx="4">
                  <c:v>Helpfulness</c:v>
                </c:pt>
                <c:pt idx="5">
                  <c:v>Naturalness</c:v>
                </c:pt>
              </c:strCache>
            </c:strRef>
          </c:cat>
          <c:val>
            <c:numRef>
              <c:f>Visualization!$O$5:$O$10</c:f>
              <c:numCache>
                <c:formatCode>0.00</c:formatCode>
                <c:ptCount val="6"/>
                <c:pt idx="0">
                  <c:v>3.5895061727777779</c:v>
                </c:pt>
                <c:pt idx="1">
                  <c:v>3.8950617283333333</c:v>
                </c:pt>
                <c:pt idx="2">
                  <c:v>3.7145061727777775</c:v>
                </c:pt>
                <c:pt idx="3">
                  <c:v>3.7962962962222222</c:v>
                </c:pt>
                <c:pt idx="4">
                  <c:v>3.7608024692222224</c:v>
                </c:pt>
                <c:pt idx="5">
                  <c:v>3.7253086419444443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E3-4BC3-AAA7-15129EE40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9814976"/>
        <c:axId val="969815696"/>
      </c:barChart>
      <c:catAx>
        <c:axId val="96981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69815696"/>
        <c:crosses val="autoZero"/>
        <c:auto val="1"/>
        <c:lblAlgn val="ctr"/>
        <c:lblOffset val="100"/>
        <c:noMultiLvlLbl val="0"/>
      </c:catAx>
      <c:valAx>
        <c:axId val="96981569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6981497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742950</xdr:colOff>
      <xdr:row>1</xdr:row>
      <xdr:rowOff>165100</xdr:rowOff>
    </xdr:from>
    <xdr:to>
      <xdr:col>11</xdr:col>
      <xdr:colOff>34924</xdr:colOff>
      <xdr:row>10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64DCBCA-84C0-6AA9-323D-AA12E6DA1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12700</xdr:colOff>
      <xdr:row>15</xdr:row>
      <xdr:rowOff>177800</xdr:rowOff>
    </xdr:from>
    <xdr:to>
      <xdr:col>11</xdr:col>
      <xdr:colOff>66674</xdr:colOff>
      <xdr:row>24</xdr:row>
      <xdr:rowOff>139700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61B3F23-2791-438A-8049-A373A458EA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11</xdr:col>
      <xdr:colOff>53974</xdr:colOff>
      <xdr:row>38</xdr:row>
      <xdr:rowOff>146050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2C085B0-C73D-43DD-BC1A-4F72FBA72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45</xdr:row>
      <xdr:rowOff>0</xdr:rowOff>
    </xdr:from>
    <xdr:to>
      <xdr:col>11</xdr:col>
      <xdr:colOff>53974</xdr:colOff>
      <xdr:row>53</xdr:row>
      <xdr:rowOff>146050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FB1DA1D8-5E83-466A-A7D3-0467DB4758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60</xdr:row>
      <xdr:rowOff>0</xdr:rowOff>
    </xdr:from>
    <xdr:to>
      <xdr:col>11</xdr:col>
      <xdr:colOff>53974</xdr:colOff>
      <xdr:row>68</xdr:row>
      <xdr:rowOff>146050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DEEEBBF1-099B-4093-9CEA-D3DAA98D8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76</xdr:row>
      <xdr:rowOff>0</xdr:rowOff>
    </xdr:from>
    <xdr:to>
      <xdr:col>11</xdr:col>
      <xdr:colOff>53974</xdr:colOff>
      <xdr:row>84</xdr:row>
      <xdr:rowOff>146050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15957C14-89F7-4238-A63D-FD67F0CD6D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741846</xdr:colOff>
      <xdr:row>12</xdr:row>
      <xdr:rowOff>32009</xdr:rowOff>
    </xdr:from>
    <xdr:to>
      <xdr:col>19</xdr:col>
      <xdr:colOff>214217</xdr:colOff>
      <xdr:row>33</xdr:row>
      <xdr:rowOff>53554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E9C7CAE0-5A77-555D-B654-0B1F39DB2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4A041-D4C9-4F5F-AADF-C4557D328408}">
  <dimension ref="A1:O247"/>
  <sheetViews>
    <sheetView workbookViewId="0">
      <selection activeCell="C8" sqref="C8"/>
    </sheetView>
  </sheetViews>
  <sheetFormatPr baseColWidth="10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1</v>
      </c>
      <c r="J1">
        <v>2</v>
      </c>
      <c r="K1">
        <v>3</v>
      </c>
      <c r="L1">
        <v>4</v>
      </c>
      <c r="M1">
        <v>5</v>
      </c>
      <c r="N1">
        <v>22</v>
      </c>
      <c r="O1" t="s">
        <v>8</v>
      </c>
    </row>
    <row r="2" spans="1:15" x14ac:dyDescent="0.35">
      <c r="A2" t="s">
        <v>9</v>
      </c>
      <c r="B2" t="s">
        <v>10</v>
      </c>
      <c r="C2">
        <v>36</v>
      </c>
      <c r="D2">
        <v>0</v>
      </c>
      <c r="O2">
        <v>36</v>
      </c>
    </row>
    <row r="3" spans="1:15" x14ac:dyDescent="0.35">
      <c r="A3" t="s">
        <v>11</v>
      </c>
      <c r="B3" t="s">
        <v>12</v>
      </c>
      <c r="C3">
        <v>36</v>
      </c>
      <c r="D3">
        <v>0</v>
      </c>
      <c r="E3">
        <v>2.9444444440000002</v>
      </c>
      <c r="F3">
        <v>0.410187723</v>
      </c>
      <c r="G3">
        <v>2</v>
      </c>
      <c r="H3">
        <v>4</v>
      </c>
      <c r="I3">
        <v>0</v>
      </c>
      <c r="J3">
        <v>4</v>
      </c>
      <c r="K3">
        <v>30</v>
      </c>
      <c r="L3">
        <v>2</v>
      </c>
      <c r="M3">
        <v>0</v>
      </c>
      <c r="O3">
        <v>0</v>
      </c>
    </row>
    <row r="4" spans="1:15" x14ac:dyDescent="0.35">
      <c r="A4" t="s">
        <v>13</v>
      </c>
      <c r="B4" t="s">
        <v>14</v>
      </c>
      <c r="C4">
        <v>36</v>
      </c>
      <c r="D4">
        <v>0</v>
      </c>
      <c r="E4">
        <v>1.4166666670000001</v>
      </c>
      <c r="F4">
        <v>0.64917530099999998</v>
      </c>
      <c r="G4">
        <v>1</v>
      </c>
      <c r="H4">
        <v>3</v>
      </c>
      <c r="I4">
        <v>24</v>
      </c>
      <c r="J4">
        <v>9</v>
      </c>
      <c r="K4">
        <v>3</v>
      </c>
      <c r="L4">
        <v>0</v>
      </c>
      <c r="M4">
        <v>0</v>
      </c>
      <c r="O4">
        <v>0</v>
      </c>
    </row>
    <row r="5" spans="1:15" x14ac:dyDescent="0.35">
      <c r="A5" t="s">
        <v>15</v>
      </c>
      <c r="B5" t="s">
        <v>16</v>
      </c>
      <c r="C5">
        <v>36</v>
      </c>
      <c r="D5">
        <v>0</v>
      </c>
      <c r="E5">
        <v>2.8056000000000001</v>
      </c>
      <c r="F5">
        <v>1.037013416</v>
      </c>
      <c r="G5">
        <v>1</v>
      </c>
      <c r="H5">
        <v>5</v>
      </c>
      <c r="I5">
        <v>3</v>
      </c>
      <c r="J5">
        <v>12</v>
      </c>
      <c r="K5">
        <v>12</v>
      </c>
      <c r="L5">
        <v>7</v>
      </c>
      <c r="M5">
        <v>2</v>
      </c>
      <c r="O5">
        <v>0</v>
      </c>
    </row>
    <row r="6" spans="1:15" x14ac:dyDescent="0.35">
      <c r="A6" t="s">
        <v>17</v>
      </c>
      <c r="B6" t="s">
        <v>18</v>
      </c>
      <c r="C6">
        <v>36</v>
      </c>
      <c r="D6">
        <v>0</v>
      </c>
      <c r="E6">
        <v>1.861111111</v>
      </c>
      <c r="F6">
        <v>0.83333333300000001</v>
      </c>
      <c r="G6">
        <v>1</v>
      </c>
      <c r="H6">
        <v>3</v>
      </c>
      <c r="I6">
        <v>15</v>
      </c>
      <c r="J6">
        <v>11</v>
      </c>
      <c r="K6">
        <v>10</v>
      </c>
      <c r="L6">
        <v>0</v>
      </c>
      <c r="M6">
        <v>0</v>
      </c>
      <c r="O6">
        <v>0</v>
      </c>
    </row>
    <row r="7" spans="1:15" x14ac:dyDescent="0.35">
      <c r="A7" t="s">
        <v>19</v>
      </c>
      <c r="B7" t="s">
        <v>20</v>
      </c>
      <c r="C7">
        <v>36</v>
      </c>
      <c r="D7">
        <v>0</v>
      </c>
      <c r="E7">
        <v>2.638888889</v>
      </c>
      <c r="F7">
        <v>1.1988751339999999</v>
      </c>
      <c r="G7">
        <v>1</v>
      </c>
      <c r="H7">
        <v>4</v>
      </c>
      <c r="I7">
        <v>9</v>
      </c>
      <c r="J7">
        <v>7</v>
      </c>
      <c r="K7">
        <v>8</v>
      </c>
      <c r="L7">
        <v>12</v>
      </c>
      <c r="M7">
        <v>0</v>
      </c>
      <c r="O7">
        <v>0</v>
      </c>
    </row>
    <row r="8" spans="1:15" x14ac:dyDescent="0.35">
      <c r="A8" t="s">
        <v>21</v>
      </c>
      <c r="B8" t="s">
        <v>22</v>
      </c>
      <c r="C8">
        <v>36</v>
      </c>
      <c r="D8">
        <v>0</v>
      </c>
      <c r="E8">
        <v>2.388888889</v>
      </c>
      <c r="F8">
        <v>0.934353184</v>
      </c>
      <c r="G8">
        <v>1</v>
      </c>
      <c r="H8">
        <v>4</v>
      </c>
      <c r="I8">
        <v>6</v>
      </c>
      <c r="J8">
        <v>15</v>
      </c>
      <c r="K8">
        <v>10</v>
      </c>
      <c r="L8">
        <v>5</v>
      </c>
      <c r="M8">
        <v>0</v>
      </c>
      <c r="O8">
        <v>0</v>
      </c>
    </row>
    <row r="9" spans="1:15" x14ac:dyDescent="0.35">
      <c r="A9" t="s">
        <v>23</v>
      </c>
      <c r="B9" t="s">
        <v>24</v>
      </c>
      <c r="C9">
        <v>36</v>
      </c>
      <c r="D9">
        <v>0</v>
      </c>
      <c r="E9">
        <v>2.2222222220000001</v>
      </c>
      <c r="F9">
        <v>1.2215005080000001</v>
      </c>
      <c r="G9">
        <v>1</v>
      </c>
      <c r="H9">
        <v>5</v>
      </c>
      <c r="I9">
        <v>11</v>
      </c>
      <c r="J9">
        <v>16</v>
      </c>
      <c r="K9">
        <v>1</v>
      </c>
      <c r="L9">
        <v>6</v>
      </c>
      <c r="M9">
        <v>2</v>
      </c>
      <c r="O9">
        <v>0</v>
      </c>
    </row>
    <row r="10" spans="1:15" x14ac:dyDescent="0.35">
      <c r="A10" t="s">
        <v>25</v>
      </c>
      <c r="B10" t="s">
        <v>26</v>
      </c>
      <c r="C10">
        <v>36</v>
      </c>
      <c r="D10">
        <v>0</v>
      </c>
      <c r="E10">
        <v>1.6666666670000001</v>
      </c>
      <c r="F10">
        <v>0.82807867099999999</v>
      </c>
      <c r="G10">
        <v>1</v>
      </c>
      <c r="H10">
        <v>5</v>
      </c>
      <c r="I10">
        <v>17</v>
      </c>
      <c r="J10">
        <v>16</v>
      </c>
      <c r="K10">
        <v>2</v>
      </c>
      <c r="L10">
        <v>0</v>
      </c>
      <c r="M10">
        <v>1</v>
      </c>
      <c r="O10">
        <v>0</v>
      </c>
    </row>
    <row r="11" spans="1:15" x14ac:dyDescent="0.35">
      <c r="A11" t="s">
        <v>61</v>
      </c>
      <c r="B11" t="s">
        <v>62</v>
      </c>
      <c r="C11">
        <v>36</v>
      </c>
      <c r="D11">
        <v>0</v>
      </c>
      <c r="E11">
        <v>2.0555555559999998</v>
      </c>
      <c r="F11">
        <v>1.169723885</v>
      </c>
      <c r="G11">
        <v>1</v>
      </c>
      <c r="H11">
        <v>5</v>
      </c>
      <c r="I11">
        <v>14</v>
      </c>
      <c r="J11">
        <v>13</v>
      </c>
      <c r="K11">
        <v>4</v>
      </c>
      <c r="L11">
        <v>3</v>
      </c>
      <c r="M11">
        <v>2</v>
      </c>
      <c r="O11">
        <v>0</v>
      </c>
    </row>
    <row r="12" spans="1:15" x14ac:dyDescent="0.35">
      <c r="A12" t="s">
        <v>29</v>
      </c>
      <c r="B12" t="s">
        <v>30</v>
      </c>
      <c r="C12">
        <v>36</v>
      </c>
      <c r="D12">
        <v>0</v>
      </c>
      <c r="E12">
        <v>1.611111111</v>
      </c>
      <c r="F12">
        <v>0.80277297199999997</v>
      </c>
      <c r="G12">
        <v>1</v>
      </c>
      <c r="H12">
        <v>4</v>
      </c>
      <c r="I12">
        <v>20</v>
      </c>
      <c r="J12">
        <v>11</v>
      </c>
      <c r="K12">
        <v>4</v>
      </c>
      <c r="L12">
        <v>1</v>
      </c>
      <c r="M12">
        <v>0</v>
      </c>
      <c r="O12">
        <v>0</v>
      </c>
    </row>
    <row r="13" spans="1:15" x14ac:dyDescent="0.35">
      <c r="A13" t="s">
        <v>31</v>
      </c>
      <c r="B13" t="s">
        <v>32</v>
      </c>
      <c r="C13">
        <v>36</v>
      </c>
      <c r="D13">
        <v>0</v>
      </c>
      <c r="E13">
        <v>2.0555555559999998</v>
      </c>
      <c r="F13">
        <v>1.1198072400000001</v>
      </c>
      <c r="G13">
        <v>1</v>
      </c>
      <c r="H13">
        <v>5</v>
      </c>
      <c r="I13">
        <v>14</v>
      </c>
      <c r="J13">
        <v>12</v>
      </c>
      <c r="K13">
        <v>5</v>
      </c>
      <c r="L13">
        <v>4</v>
      </c>
      <c r="M13">
        <v>1</v>
      </c>
      <c r="O13">
        <v>0</v>
      </c>
    </row>
    <row r="14" spans="1:15" x14ac:dyDescent="0.35">
      <c r="A14" t="s">
        <v>55</v>
      </c>
      <c r="B14" t="s">
        <v>56</v>
      </c>
      <c r="C14">
        <v>36</v>
      </c>
      <c r="D14">
        <v>0</v>
      </c>
      <c r="E14">
        <v>2.138888889</v>
      </c>
      <c r="F14">
        <v>0.99002966100000001</v>
      </c>
      <c r="G14">
        <v>1</v>
      </c>
      <c r="H14">
        <v>5</v>
      </c>
      <c r="I14">
        <v>10</v>
      </c>
      <c r="J14">
        <v>15</v>
      </c>
      <c r="K14">
        <v>8</v>
      </c>
      <c r="L14">
        <v>2</v>
      </c>
      <c r="M14">
        <v>1</v>
      </c>
      <c r="O14">
        <v>0</v>
      </c>
    </row>
    <row r="15" spans="1:15" x14ac:dyDescent="0.35">
      <c r="A15" t="s">
        <v>57</v>
      </c>
      <c r="B15" t="s">
        <v>58</v>
      </c>
      <c r="C15">
        <v>36</v>
      </c>
      <c r="D15">
        <v>0</v>
      </c>
      <c r="E15">
        <v>2.5555555559999998</v>
      </c>
      <c r="F15">
        <v>1.229272594</v>
      </c>
      <c r="G15">
        <v>1</v>
      </c>
      <c r="H15">
        <v>5</v>
      </c>
      <c r="I15">
        <v>9</v>
      </c>
      <c r="J15">
        <v>9</v>
      </c>
      <c r="K15">
        <v>9</v>
      </c>
      <c r="L15">
        <v>7</v>
      </c>
      <c r="M15">
        <v>2</v>
      </c>
      <c r="O15">
        <v>0</v>
      </c>
    </row>
    <row r="16" spans="1:15" x14ac:dyDescent="0.35">
      <c r="A16" t="s">
        <v>59</v>
      </c>
      <c r="B16" t="s">
        <v>60</v>
      </c>
      <c r="C16">
        <v>36</v>
      </c>
      <c r="D16">
        <v>0</v>
      </c>
      <c r="E16">
        <v>1.5555555560000001</v>
      </c>
      <c r="F16">
        <v>0.69465076299999995</v>
      </c>
      <c r="G16">
        <v>1</v>
      </c>
      <c r="H16">
        <v>3</v>
      </c>
      <c r="I16">
        <v>20</v>
      </c>
      <c r="J16">
        <v>12</v>
      </c>
      <c r="K16">
        <v>4</v>
      </c>
      <c r="L16">
        <v>0</v>
      </c>
      <c r="M16">
        <v>0</v>
      </c>
      <c r="O16">
        <v>0</v>
      </c>
    </row>
    <row r="17" spans="1:15" x14ac:dyDescent="0.35">
      <c r="A17" t="s">
        <v>423</v>
      </c>
      <c r="B17" t="s">
        <v>424</v>
      </c>
      <c r="C17">
        <v>36</v>
      </c>
      <c r="D17">
        <v>0</v>
      </c>
      <c r="E17">
        <v>1.861111111</v>
      </c>
      <c r="F17">
        <v>0.96073715100000001</v>
      </c>
      <c r="G17">
        <v>1</v>
      </c>
      <c r="H17">
        <v>5</v>
      </c>
      <c r="I17">
        <v>15</v>
      </c>
      <c r="J17">
        <v>14</v>
      </c>
      <c r="K17">
        <v>5</v>
      </c>
      <c r="L17">
        <v>1</v>
      </c>
      <c r="M17">
        <v>1</v>
      </c>
      <c r="O17">
        <v>0</v>
      </c>
    </row>
    <row r="18" spans="1:15" x14ac:dyDescent="0.35">
      <c r="A18" t="s">
        <v>41</v>
      </c>
      <c r="B18" t="s">
        <v>42</v>
      </c>
      <c r="C18">
        <v>36</v>
      </c>
      <c r="D18">
        <v>0</v>
      </c>
      <c r="E18">
        <v>1.5833333329999999</v>
      </c>
      <c r="F18">
        <v>0.73192505500000005</v>
      </c>
      <c r="G18">
        <v>1</v>
      </c>
      <c r="H18">
        <v>3</v>
      </c>
      <c r="I18">
        <v>20</v>
      </c>
      <c r="J18">
        <v>11</v>
      </c>
      <c r="K18">
        <v>5</v>
      </c>
      <c r="L18">
        <v>0</v>
      </c>
      <c r="M18">
        <v>0</v>
      </c>
      <c r="O18">
        <v>0</v>
      </c>
    </row>
    <row r="19" spans="1:15" x14ac:dyDescent="0.35">
      <c r="A19" t="s">
        <v>43</v>
      </c>
      <c r="B19" t="s">
        <v>44</v>
      </c>
      <c r="C19">
        <v>36</v>
      </c>
      <c r="D19">
        <v>0</v>
      </c>
      <c r="E19">
        <v>2.1666666669999999</v>
      </c>
      <c r="F19">
        <v>0.77459666900000002</v>
      </c>
      <c r="G19">
        <v>1</v>
      </c>
      <c r="H19">
        <v>4</v>
      </c>
      <c r="I19">
        <v>6</v>
      </c>
      <c r="J19">
        <v>20</v>
      </c>
      <c r="K19">
        <v>8</v>
      </c>
      <c r="L19">
        <v>2</v>
      </c>
      <c r="M19">
        <v>0</v>
      </c>
      <c r="O19">
        <v>0</v>
      </c>
    </row>
    <row r="20" spans="1:15" x14ac:dyDescent="0.35">
      <c r="A20" t="s">
        <v>45</v>
      </c>
      <c r="B20" t="s">
        <v>46</v>
      </c>
      <c r="C20">
        <v>36</v>
      </c>
      <c r="D20">
        <v>0</v>
      </c>
      <c r="E20">
        <v>2.8055555559999998</v>
      </c>
      <c r="F20">
        <v>0.95077245099999996</v>
      </c>
      <c r="G20">
        <v>1</v>
      </c>
      <c r="H20">
        <v>5</v>
      </c>
      <c r="I20">
        <v>2</v>
      </c>
      <c r="J20">
        <v>12</v>
      </c>
      <c r="K20">
        <v>15</v>
      </c>
      <c r="L20">
        <v>5</v>
      </c>
      <c r="M20">
        <v>2</v>
      </c>
      <c r="O20">
        <v>0</v>
      </c>
    </row>
    <row r="21" spans="1:15" x14ac:dyDescent="0.35">
      <c r="A21" t="s">
        <v>431</v>
      </c>
      <c r="B21" t="s">
        <v>432</v>
      </c>
      <c r="C21">
        <v>36</v>
      </c>
      <c r="D21">
        <v>0</v>
      </c>
      <c r="E21">
        <v>2.4722222220000001</v>
      </c>
      <c r="F21">
        <v>1.2302406530000001</v>
      </c>
      <c r="G21">
        <v>1</v>
      </c>
      <c r="H21">
        <v>5</v>
      </c>
      <c r="I21">
        <v>10</v>
      </c>
      <c r="J21">
        <v>9</v>
      </c>
      <c r="K21">
        <v>9</v>
      </c>
      <c r="L21">
        <v>6</v>
      </c>
      <c r="M21">
        <v>2</v>
      </c>
      <c r="O21">
        <v>0</v>
      </c>
    </row>
    <row r="22" spans="1:15" x14ac:dyDescent="0.35">
      <c r="A22" t="s">
        <v>433</v>
      </c>
      <c r="B22" t="s">
        <v>434</v>
      </c>
      <c r="C22">
        <v>36</v>
      </c>
      <c r="D22">
        <v>0</v>
      </c>
      <c r="E22">
        <v>2.5</v>
      </c>
      <c r="F22">
        <v>1.253566341</v>
      </c>
      <c r="G22">
        <v>1</v>
      </c>
      <c r="H22">
        <v>5</v>
      </c>
      <c r="I22">
        <v>7</v>
      </c>
      <c r="J22">
        <v>16</v>
      </c>
      <c r="K22">
        <v>5</v>
      </c>
      <c r="L22">
        <v>4</v>
      </c>
      <c r="M22">
        <v>4</v>
      </c>
      <c r="O22">
        <v>0</v>
      </c>
    </row>
    <row r="23" spans="1:15" x14ac:dyDescent="0.35">
      <c r="A23" t="s">
        <v>51</v>
      </c>
      <c r="B23" t="s">
        <v>52</v>
      </c>
      <c r="C23">
        <v>36</v>
      </c>
      <c r="D23">
        <v>0</v>
      </c>
      <c r="E23">
        <v>2.9722</v>
      </c>
      <c r="F23">
        <v>1.319872529</v>
      </c>
      <c r="G23">
        <v>1</v>
      </c>
      <c r="H23">
        <v>5</v>
      </c>
      <c r="I23">
        <v>5</v>
      </c>
      <c r="J23">
        <v>10</v>
      </c>
      <c r="K23">
        <v>8</v>
      </c>
      <c r="L23">
        <v>7</v>
      </c>
      <c r="M23">
        <v>6</v>
      </c>
      <c r="O23">
        <v>0</v>
      </c>
    </row>
    <row r="24" spans="1:15" x14ac:dyDescent="0.35">
      <c r="A24" t="s">
        <v>53</v>
      </c>
      <c r="B24" t="s">
        <v>54</v>
      </c>
      <c r="C24">
        <v>36</v>
      </c>
      <c r="D24">
        <v>0</v>
      </c>
      <c r="E24">
        <v>1.7777777779999999</v>
      </c>
      <c r="F24">
        <v>0.95949722299999995</v>
      </c>
      <c r="G24">
        <v>1</v>
      </c>
      <c r="H24">
        <v>5</v>
      </c>
      <c r="I24">
        <v>17</v>
      </c>
      <c r="J24">
        <v>13</v>
      </c>
      <c r="K24">
        <v>4</v>
      </c>
      <c r="L24">
        <v>1</v>
      </c>
      <c r="M24">
        <v>1</v>
      </c>
      <c r="O24">
        <v>0</v>
      </c>
    </row>
    <row r="25" spans="1:15" x14ac:dyDescent="0.35">
      <c r="A25" t="s">
        <v>441</v>
      </c>
      <c r="B25" t="s">
        <v>442</v>
      </c>
      <c r="C25">
        <v>36</v>
      </c>
      <c r="D25">
        <v>0</v>
      </c>
      <c r="E25">
        <v>1.9722222220000001</v>
      </c>
      <c r="F25">
        <v>0.87785814399999995</v>
      </c>
      <c r="G25">
        <v>1</v>
      </c>
      <c r="H25">
        <v>5</v>
      </c>
      <c r="I25">
        <v>11</v>
      </c>
      <c r="J25">
        <v>17</v>
      </c>
      <c r="K25">
        <v>7</v>
      </c>
      <c r="L25">
        <v>0</v>
      </c>
      <c r="M25">
        <v>1</v>
      </c>
      <c r="O25">
        <v>0</v>
      </c>
    </row>
    <row r="26" spans="1:15" x14ac:dyDescent="0.35">
      <c r="A26" t="s">
        <v>443</v>
      </c>
      <c r="B26" t="s">
        <v>444</v>
      </c>
      <c r="C26">
        <v>36</v>
      </c>
      <c r="D26">
        <v>0</v>
      </c>
      <c r="E26">
        <v>2.4444444440000002</v>
      </c>
      <c r="F26">
        <v>1.1818736809999999</v>
      </c>
      <c r="G26">
        <v>1</v>
      </c>
      <c r="H26">
        <v>5</v>
      </c>
      <c r="I26">
        <v>9</v>
      </c>
      <c r="J26">
        <v>12</v>
      </c>
      <c r="K26">
        <v>6</v>
      </c>
      <c r="L26">
        <v>8</v>
      </c>
      <c r="M26">
        <v>1</v>
      </c>
      <c r="O26">
        <v>0</v>
      </c>
    </row>
    <row r="27" spans="1:15" x14ac:dyDescent="0.35">
      <c r="A27" t="s">
        <v>445</v>
      </c>
      <c r="B27" t="s">
        <v>446</v>
      </c>
      <c r="C27">
        <v>36</v>
      </c>
      <c r="D27">
        <v>0</v>
      </c>
      <c r="E27">
        <v>1.7222222220000001</v>
      </c>
      <c r="F27">
        <v>0.70147237399999995</v>
      </c>
      <c r="G27">
        <v>1</v>
      </c>
      <c r="H27">
        <v>3</v>
      </c>
      <c r="I27">
        <v>15</v>
      </c>
      <c r="J27">
        <v>16</v>
      </c>
      <c r="K27">
        <v>5</v>
      </c>
      <c r="L27">
        <v>0</v>
      </c>
      <c r="M27">
        <v>0</v>
      </c>
      <c r="O27">
        <v>0</v>
      </c>
    </row>
    <row r="28" spans="1:15" x14ac:dyDescent="0.35">
      <c r="A28" t="s">
        <v>435</v>
      </c>
      <c r="B28" t="s">
        <v>436</v>
      </c>
      <c r="C28">
        <v>36</v>
      </c>
      <c r="D28">
        <v>0</v>
      </c>
      <c r="E28">
        <v>2.1666666669999999</v>
      </c>
      <c r="F28">
        <v>1.1338934190000001</v>
      </c>
      <c r="G28">
        <v>1</v>
      </c>
      <c r="H28">
        <v>5</v>
      </c>
      <c r="I28">
        <v>11</v>
      </c>
      <c r="J28">
        <v>15</v>
      </c>
      <c r="K28">
        <v>5</v>
      </c>
      <c r="L28">
        <v>3</v>
      </c>
      <c r="M28">
        <v>2</v>
      </c>
      <c r="O28">
        <v>0</v>
      </c>
    </row>
    <row r="29" spans="1:15" x14ac:dyDescent="0.35">
      <c r="A29" t="s">
        <v>63</v>
      </c>
      <c r="B29" t="s">
        <v>64</v>
      </c>
      <c r="C29">
        <v>36</v>
      </c>
      <c r="D29">
        <v>0</v>
      </c>
      <c r="E29">
        <v>2.5555555559999998</v>
      </c>
      <c r="F29">
        <v>1.3404571599999999</v>
      </c>
      <c r="G29">
        <v>1</v>
      </c>
      <c r="H29">
        <v>5</v>
      </c>
      <c r="I29">
        <v>10</v>
      </c>
      <c r="J29">
        <v>10</v>
      </c>
      <c r="K29">
        <v>5</v>
      </c>
      <c r="L29">
        <v>8</v>
      </c>
      <c r="M29">
        <v>3</v>
      </c>
      <c r="O29">
        <v>0</v>
      </c>
    </row>
    <row r="30" spans="1:15" x14ac:dyDescent="0.35">
      <c r="A30" t="s">
        <v>65</v>
      </c>
      <c r="B30" t="s">
        <v>66</v>
      </c>
      <c r="C30">
        <v>36</v>
      </c>
      <c r="D30">
        <v>0</v>
      </c>
      <c r="E30">
        <v>3.1389</v>
      </c>
      <c r="F30">
        <v>1.1988751339999999</v>
      </c>
      <c r="G30">
        <v>1</v>
      </c>
      <c r="H30">
        <v>5</v>
      </c>
      <c r="I30">
        <v>4</v>
      </c>
      <c r="J30">
        <v>8</v>
      </c>
      <c r="K30">
        <v>6</v>
      </c>
      <c r="L30">
        <v>15</v>
      </c>
      <c r="M30">
        <v>3</v>
      </c>
      <c r="O30">
        <v>0</v>
      </c>
    </row>
    <row r="31" spans="1:15" x14ac:dyDescent="0.35">
      <c r="A31" t="s">
        <v>67</v>
      </c>
      <c r="B31" t="s">
        <v>68</v>
      </c>
      <c r="C31">
        <v>36</v>
      </c>
      <c r="D31">
        <v>0</v>
      </c>
      <c r="E31">
        <v>2.3333333330000001</v>
      </c>
      <c r="F31">
        <v>1.041976145</v>
      </c>
      <c r="G31">
        <v>1</v>
      </c>
      <c r="H31">
        <v>5</v>
      </c>
      <c r="I31">
        <v>7</v>
      </c>
      <c r="J31">
        <v>17</v>
      </c>
      <c r="K31">
        <v>6</v>
      </c>
      <c r="L31">
        <v>5</v>
      </c>
      <c r="M31">
        <v>1</v>
      </c>
      <c r="O31">
        <v>0</v>
      </c>
    </row>
    <row r="32" spans="1:15" x14ac:dyDescent="0.35">
      <c r="A32" t="s">
        <v>69</v>
      </c>
      <c r="B32" t="s">
        <v>70</v>
      </c>
      <c r="C32">
        <v>36</v>
      </c>
      <c r="D32">
        <v>0</v>
      </c>
      <c r="E32">
        <v>2.6666666669999999</v>
      </c>
      <c r="F32">
        <v>1.146423008</v>
      </c>
      <c r="G32">
        <v>1</v>
      </c>
      <c r="H32">
        <v>5</v>
      </c>
      <c r="I32">
        <v>5</v>
      </c>
      <c r="J32">
        <v>14</v>
      </c>
      <c r="K32">
        <v>7</v>
      </c>
      <c r="L32">
        <v>8</v>
      </c>
      <c r="M32">
        <v>2</v>
      </c>
      <c r="O32">
        <v>0</v>
      </c>
    </row>
    <row r="33" spans="1:15" x14ac:dyDescent="0.35">
      <c r="A33" t="s">
        <v>71</v>
      </c>
      <c r="B33" t="s">
        <v>72</v>
      </c>
      <c r="C33">
        <v>36</v>
      </c>
      <c r="D33">
        <v>0</v>
      </c>
      <c r="E33">
        <v>2.5</v>
      </c>
      <c r="F33">
        <v>1.108409414</v>
      </c>
      <c r="G33">
        <v>1</v>
      </c>
      <c r="H33">
        <v>5</v>
      </c>
      <c r="I33">
        <v>6</v>
      </c>
      <c r="J33">
        <v>15</v>
      </c>
      <c r="K33">
        <v>8</v>
      </c>
      <c r="L33">
        <v>5</v>
      </c>
      <c r="M33">
        <v>2</v>
      </c>
      <c r="O33">
        <v>0</v>
      </c>
    </row>
    <row r="34" spans="1:15" x14ac:dyDescent="0.35">
      <c r="A34" t="s">
        <v>73</v>
      </c>
      <c r="B34" t="s">
        <v>74</v>
      </c>
      <c r="C34">
        <v>36</v>
      </c>
      <c r="D34">
        <v>0</v>
      </c>
      <c r="E34">
        <v>2.9166666669999999</v>
      </c>
      <c r="F34">
        <v>1.250714082</v>
      </c>
      <c r="G34">
        <v>1</v>
      </c>
      <c r="H34">
        <v>5</v>
      </c>
      <c r="I34">
        <v>5</v>
      </c>
      <c r="J34">
        <v>9</v>
      </c>
      <c r="K34">
        <v>11</v>
      </c>
      <c r="L34">
        <v>6</v>
      </c>
      <c r="M34">
        <v>5</v>
      </c>
      <c r="O34">
        <v>0</v>
      </c>
    </row>
    <row r="35" spans="1:15" x14ac:dyDescent="0.35">
      <c r="A35" t="s">
        <v>75</v>
      </c>
      <c r="B35" t="s">
        <v>76</v>
      </c>
      <c r="C35">
        <v>36</v>
      </c>
      <c r="D35">
        <v>0</v>
      </c>
      <c r="E35">
        <v>3.6666666669999999</v>
      </c>
      <c r="F35">
        <v>1.4540583600000001</v>
      </c>
      <c r="G35">
        <v>1</v>
      </c>
      <c r="H35">
        <v>5</v>
      </c>
      <c r="I35">
        <v>3</v>
      </c>
      <c r="J35">
        <v>8</v>
      </c>
      <c r="K35">
        <v>3</v>
      </c>
      <c r="L35">
        <v>6</v>
      </c>
      <c r="M35">
        <v>16</v>
      </c>
      <c r="O35">
        <v>0</v>
      </c>
    </row>
    <row r="36" spans="1:15" x14ac:dyDescent="0.35">
      <c r="A36" t="s">
        <v>77</v>
      </c>
      <c r="B36" t="s">
        <v>78</v>
      </c>
      <c r="C36">
        <v>36</v>
      </c>
      <c r="D36">
        <v>0</v>
      </c>
      <c r="E36">
        <v>3.0555555559999998</v>
      </c>
      <c r="F36">
        <v>1.4529663150000001</v>
      </c>
      <c r="G36">
        <v>1</v>
      </c>
      <c r="H36">
        <v>5</v>
      </c>
      <c r="I36">
        <v>6</v>
      </c>
      <c r="J36">
        <v>11</v>
      </c>
      <c r="K36">
        <v>1</v>
      </c>
      <c r="L36">
        <v>11</v>
      </c>
      <c r="M36">
        <v>7</v>
      </c>
      <c r="O36">
        <v>0</v>
      </c>
    </row>
    <row r="37" spans="1:15" x14ac:dyDescent="0.35">
      <c r="A37" t="s">
        <v>79</v>
      </c>
      <c r="B37" t="s">
        <v>80</v>
      </c>
      <c r="C37">
        <v>36</v>
      </c>
      <c r="D37">
        <v>0</v>
      </c>
      <c r="E37">
        <v>2.5277777779999999</v>
      </c>
      <c r="F37">
        <v>1.2980449279999999</v>
      </c>
      <c r="G37">
        <v>1</v>
      </c>
      <c r="H37">
        <v>5</v>
      </c>
      <c r="I37">
        <v>9</v>
      </c>
      <c r="J37">
        <v>12</v>
      </c>
      <c r="K37">
        <v>5</v>
      </c>
      <c r="L37">
        <v>7</v>
      </c>
      <c r="M37">
        <v>3</v>
      </c>
      <c r="O37">
        <v>0</v>
      </c>
    </row>
    <row r="38" spans="1:15" x14ac:dyDescent="0.35">
      <c r="A38" t="s">
        <v>81</v>
      </c>
      <c r="B38" t="s">
        <v>82</v>
      </c>
      <c r="C38">
        <v>36</v>
      </c>
      <c r="D38">
        <v>0</v>
      </c>
      <c r="E38">
        <v>2.6944444440000002</v>
      </c>
      <c r="F38">
        <v>1.260826134</v>
      </c>
      <c r="G38">
        <v>1</v>
      </c>
      <c r="H38">
        <v>5</v>
      </c>
      <c r="I38">
        <v>6</v>
      </c>
      <c r="J38">
        <v>13</v>
      </c>
      <c r="K38">
        <v>7</v>
      </c>
      <c r="L38">
        <v>6</v>
      </c>
      <c r="M38">
        <v>4</v>
      </c>
      <c r="O38">
        <v>0</v>
      </c>
    </row>
    <row r="39" spans="1:15" x14ac:dyDescent="0.35">
      <c r="A39" t="s">
        <v>83</v>
      </c>
      <c r="B39" t="s">
        <v>84</v>
      </c>
      <c r="C39">
        <v>36</v>
      </c>
      <c r="D39">
        <v>0</v>
      </c>
      <c r="E39">
        <v>2.7777777779999999</v>
      </c>
      <c r="F39">
        <v>1.197881728</v>
      </c>
      <c r="G39">
        <v>1</v>
      </c>
      <c r="H39">
        <v>5</v>
      </c>
      <c r="I39">
        <v>5</v>
      </c>
      <c r="J39">
        <v>12</v>
      </c>
      <c r="K39">
        <v>8</v>
      </c>
      <c r="L39">
        <v>8</v>
      </c>
      <c r="M39">
        <v>3</v>
      </c>
      <c r="O39">
        <v>0</v>
      </c>
    </row>
    <row r="40" spans="1:15" x14ac:dyDescent="0.35">
      <c r="A40" t="s">
        <v>85</v>
      </c>
      <c r="B40" t="s">
        <v>86</v>
      </c>
      <c r="C40">
        <v>36</v>
      </c>
      <c r="D40">
        <v>0</v>
      </c>
      <c r="E40">
        <v>3.1666666669999999</v>
      </c>
      <c r="F40">
        <v>1.4832396969999999</v>
      </c>
      <c r="G40">
        <v>1</v>
      </c>
      <c r="H40">
        <v>5</v>
      </c>
      <c r="I40">
        <v>8</v>
      </c>
      <c r="J40">
        <v>5</v>
      </c>
      <c r="K40">
        <v>3</v>
      </c>
      <c r="L40">
        <v>13</v>
      </c>
      <c r="M40">
        <v>7</v>
      </c>
      <c r="O40">
        <v>0</v>
      </c>
    </row>
    <row r="41" spans="1:15" x14ac:dyDescent="0.35">
      <c r="A41" t="s">
        <v>387</v>
      </c>
      <c r="B41" t="s">
        <v>388</v>
      </c>
      <c r="C41">
        <v>36</v>
      </c>
      <c r="D41">
        <v>0</v>
      </c>
      <c r="E41">
        <v>1.4444444439999999</v>
      </c>
      <c r="F41">
        <v>0.55777335100000003</v>
      </c>
      <c r="G41">
        <v>1</v>
      </c>
      <c r="H41">
        <v>3</v>
      </c>
      <c r="I41">
        <v>21</v>
      </c>
      <c r="J41">
        <v>14</v>
      </c>
      <c r="K41">
        <v>1</v>
      </c>
      <c r="L41">
        <v>0</v>
      </c>
      <c r="M41">
        <v>0</v>
      </c>
      <c r="O41">
        <v>0</v>
      </c>
    </row>
    <row r="42" spans="1:15" x14ac:dyDescent="0.35">
      <c r="A42" t="s">
        <v>89</v>
      </c>
      <c r="B42" t="s">
        <v>90</v>
      </c>
      <c r="C42">
        <v>36</v>
      </c>
      <c r="D42">
        <v>0</v>
      </c>
      <c r="E42">
        <v>1.861111111</v>
      </c>
      <c r="F42">
        <v>0.68254891100000004</v>
      </c>
      <c r="G42">
        <v>1</v>
      </c>
      <c r="H42">
        <v>3</v>
      </c>
      <c r="I42">
        <v>11</v>
      </c>
      <c r="J42">
        <v>19</v>
      </c>
      <c r="K42">
        <v>6</v>
      </c>
      <c r="L42">
        <v>0</v>
      </c>
      <c r="M42">
        <v>0</v>
      </c>
      <c r="O42">
        <v>0</v>
      </c>
    </row>
    <row r="43" spans="1:15" x14ac:dyDescent="0.35">
      <c r="A43" t="s">
        <v>91</v>
      </c>
      <c r="B43" t="s">
        <v>92</v>
      </c>
      <c r="C43">
        <v>36</v>
      </c>
      <c r="D43">
        <v>0</v>
      </c>
      <c r="E43">
        <v>1.5555555560000001</v>
      </c>
      <c r="F43">
        <v>0.50395263099999998</v>
      </c>
      <c r="G43">
        <v>1</v>
      </c>
      <c r="H43">
        <v>2</v>
      </c>
      <c r="I43">
        <v>16</v>
      </c>
      <c r="J43">
        <v>20</v>
      </c>
      <c r="K43">
        <v>0</v>
      </c>
      <c r="L43">
        <v>0</v>
      </c>
      <c r="M43">
        <v>0</v>
      </c>
      <c r="O43">
        <v>0</v>
      </c>
    </row>
    <row r="44" spans="1:15" x14ac:dyDescent="0.35">
      <c r="A44" t="s">
        <v>93</v>
      </c>
      <c r="B44" t="s">
        <v>94</v>
      </c>
      <c r="C44">
        <v>36</v>
      </c>
      <c r="D44">
        <v>0</v>
      </c>
      <c r="E44">
        <v>1.888888889</v>
      </c>
      <c r="F44">
        <v>0.74748254700000005</v>
      </c>
      <c r="G44">
        <v>1</v>
      </c>
      <c r="H44">
        <v>3</v>
      </c>
      <c r="I44">
        <v>12</v>
      </c>
      <c r="J44">
        <v>16</v>
      </c>
      <c r="K44">
        <v>8</v>
      </c>
      <c r="L44">
        <v>0</v>
      </c>
      <c r="M44">
        <v>0</v>
      </c>
      <c r="O44">
        <v>0</v>
      </c>
    </row>
    <row r="45" spans="1:15" x14ac:dyDescent="0.35">
      <c r="A45" t="s">
        <v>395</v>
      </c>
      <c r="B45" t="s">
        <v>396</v>
      </c>
      <c r="C45">
        <v>36</v>
      </c>
      <c r="D45">
        <v>0</v>
      </c>
      <c r="E45">
        <v>1.7777777779999999</v>
      </c>
      <c r="F45">
        <v>0.63745525800000002</v>
      </c>
      <c r="G45">
        <v>1</v>
      </c>
      <c r="H45">
        <v>3</v>
      </c>
      <c r="I45">
        <v>12</v>
      </c>
      <c r="J45">
        <v>20</v>
      </c>
      <c r="K45">
        <v>4</v>
      </c>
      <c r="L45">
        <v>0</v>
      </c>
      <c r="M45">
        <v>0</v>
      </c>
      <c r="O45">
        <v>0</v>
      </c>
    </row>
    <row r="46" spans="1:15" x14ac:dyDescent="0.35">
      <c r="A46" t="s">
        <v>397</v>
      </c>
      <c r="B46" t="s">
        <v>398</v>
      </c>
      <c r="C46">
        <v>36</v>
      </c>
      <c r="D46">
        <v>0</v>
      </c>
      <c r="E46">
        <v>1.7777777779999999</v>
      </c>
      <c r="F46">
        <v>0.76011695000000001</v>
      </c>
      <c r="G46">
        <v>1</v>
      </c>
      <c r="H46">
        <v>4</v>
      </c>
      <c r="I46">
        <v>14</v>
      </c>
      <c r="J46">
        <v>17</v>
      </c>
      <c r="K46">
        <v>4</v>
      </c>
      <c r="L46">
        <v>1</v>
      </c>
      <c r="M46">
        <v>0</v>
      </c>
      <c r="O46">
        <v>0</v>
      </c>
    </row>
    <row r="47" spans="1:15" x14ac:dyDescent="0.35">
      <c r="A47" t="s">
        <v>39</v>
      </c>
      <c r="B47" t="s">
        <v>40</v>
      </c>
      <c r="C47">
        <v>36</v>
      </c>
      <c r="D47">
        <v>0</v>
      </c>
      <c r="E47">
        <v>2.5555555559999998</v>
      </c>
      <c r="F47">
        <v>1.3824294239999999</v>
      </c>
      <c r="G47">
        <v>1</v>
      </c>
      <c r="H47">
        <v>5</v>
      </c>
      <c r="I47">
        <v>8</v>
      </c>
      <c r="J47">
        <v>15</v>
      </c>
      <c r="K47">
        <v>4</v>
      </c>
      <c r="L47">
        <v>3</v>
      </c>
      <c r="M47">
        <v>6</v>
      </c>
      <c r="O47">
        <v>0</v>
      </c>
    </row>
    <row r="48" spans="1:15" x14ac:dyDescent="0.35">
      <c r="A48" t="s">
        <v>101</v>
      </c>
      <c r="B48" t="s">
        <v>102</v>
      </c>
      <c r="C48">
        <v>36</v>
      </c>
      <c r="D48">
        <v>0</v>
      </c>
      <c r="E48">
        <v>1.6667000000000001</v>
      </c>
      <c r="F48">
        <v>0.63245553200000004</v>
      </c>
      <c r="G48">
        <v>1</v>
      </c>
      <c r="H48">
        <v>4</v>
      </c>
      <c r="I48">
        <v>14</v>
      </c>
      <c r="J48">
        <v>21</v>
      </c>
      <c r="K48">
        <v>0</v>
      </c>
      <c r="L48">
        <v>1</v>
      </c>
      <c r="M48">
        <v>0</v>
      </c>
      <c r="O48">
        <v>0</v>
      </c>
    </row>
    <row r="49" spans="1:15" x14ac:dyDescent="0.35">
      <c r="A49" t="s">
        <v>103</v>
      </c>
      <c r="B49" t="s">
        <v>104</v>
      </c>
      <c r="C49">
        <v>36</v>
      </c>
      <c r="D49">
        <v>0</v>
      </c>
      <c r="E49">
        <v>1.8055555560000001</v>
      </c>
      <c r="F49">
        <v>0.82182530099999995</v>
      </c>
      <c r="G49">
        <v>1</v>
      </c>
      <c r="H49">
        <v>4</v>
      </c>
      <c r="I49">
        <v>14</v>
      </c>
      <c r="J49">
        <v>17</v>
      </c>
      <c r="K49">
        <v>3</v>
      </c>
      <c r="L49">
        <v>2</v>
      </c>
      <c r="M49">
        <v>0</v>
      </c>
      <c r="O49">
        <v>0</v>
      </c>
    </row>
    <row r="50" spans="1:15" x14ac:dyDescent="0.35">
      <c r="A50" t="s">
        <v>105</v>
      </c>
      <c r="B50" t="s">
        <v>106</v>
      </c>
      <c r="C50">
        <v>36</v>
      </c>
      <c r="D50">
        <v>0</v>
      </c>
      <c r="E50">
        <v>1.861111111</v>
      </c>
      <c r="F50">
        <v>0.83333333300000001</v>
      </c>
      <c r="G50">
        <v>1</v>
      </c>
      <c r="H50">
        <v>4</v>
      </c>
      <c r="I50">
        <v>14</v>
      </c>
      <c r="J50">
        <v>14</v>
      </c>
      <c r="K50">
        <v>7</v>
      </c>
      <c r="L50">
        <v>1</v>
      </c>
      <c r="M50">
        <v>0</v>
      </c>
      <c r="O50">
        <v>0</v>
      </c>
    </row>
    <row r="51" spans="1:15" x14ac:dyDescent="0.35">
      <c r="A51" t="s">
        <v>47</v>
      </c>
      <c r="B51" t="s">
        <v>48</v>
      </c>
      <c r="C51">
        <v>36</v>
      </c>
      <c r="D51">
        <v>0</v>
      </c>
      <c r="E51">
        <v>3.0277777779999999</v>
      </c>
      <c r="F51">
        <v>1.027788503</v>
      </c>
      <c r="G51">
        <v>1</v>
      </c>
      <c r="H51">
        <v>5</v>
      </c>
      <c r="I51">
        <v>1</v>
      </c>
      <c r="J51">
        <v>12</v>
      </c>
      <c r="K51">
        <v>11</v>
      </c>
      <c r="L51">
        <v>9</v>
      </c>
      <c r="M51">
        <v>3</v>
      </c>
      <c r="O51">
        <v>0</v>
      </c>
    </row>
    <row r="52" spans="1:15" x14ac:dyDescent="0.35">
      <c r="A52" t="s">
        <v>49</v>
      </c>
      <c r="B52" t="s">
        <v>50</v>
      </c>
      <c r="C52">
        <v>36</v>
      </c>
      <c r="D52">
        <v>0</v>
      </c>
      <c r="E52">
        <v>3</v>
      </c>
      <c r="F52">
        <v>1.2188988000000001</v>
      </c>
      <c r="G52">
        <v>1</v>
      </c>
      <c r="H52">
        <v>5</v>
      </c>
      <c r="I52">
        <v>4</v>
      </c>
      <c r="J52">
        <v>10</v>
      </c>
      <c r="K52">
        <v>8</v>
      </c>
      <c r="L52">
        <v>10</v>
      </c>
      <c r="M52">
        <v>4</v>
      </c>
      <c r="O52">
        <v>0</v>
      </c>
    </row>
    <row r="53" spans="1:15" x14ac:dyDescent="0.35">
      <c r="A53" t="s">
        <v>411</v>
      </c>
      <c r="B53" t="s">
        <v>412</v>
      </c>
      <c r="C53">
        <v>36</v>
      </c>
      <c r="D53">
        <v>0</v>
      </c>
      <c r="E53">
        <v>2.611111111</v>
      </c>
      <c r="F53">
        <v>1.2018504249999999</v>
      </c>
      <c r="G53">
        <v>1</v>
      </c>
      <c r="H53">
        <v>5</v>
      </c>
      <c r="I53">
        <v>6</v>
      </c>
      <c r="J53">
        <v>15</v>
      </c>
      <c r="K53">
        <v>4</v>
      </c>
      <c r="L53">
        <v>9</v>
      </c>
      <c r="M53">
        <v>2</v>
      </c>
      <c r="O53">
        <v>0</v>
      </c>
    </row>
    <row r="54" spans="1:15" x14ac:dyDescent="0.35">
      <c r="A54" t="s">
        <v>113</v>
      </c>
      <c r="B54" t="s">
        <v>114</v>
      </c>
      <c r="C54">
        <v>36</v>
      </c>
      <c r="D54">
        <v>0</v>
      </c>
      <c r="E54">
        <v>2.6666666669999999</v>
      </c>
      <c r="F54">
        <v>1.2873006090000001</v>
      </c>
      <c r="G54">
        <v>1</v>
      </c>
      <c r="H54">
        <v>5</v>
      </c>
      <c r="I54">
        <v>6</v>
      </c>
      <c r="J54">
        <v>15</v>
      </c>
      <c r="K54">
        <v>4</v>
      </c>
      <c r="L54">
        <v>7</v>
      </c>
      <c r="M54">
        <v>4</v>
      </c>
      <c r="O54">
        <v>0</v>
      </c>
    </row>
    <row r="55" spans="1:15" x14ac:dyDescent="0.35">
      <c r="A55" t="s">
        <v>115</v>
      </c>
      <c r="B55" t="s">
        <v>116</v>
      </c>
      <c r="C55">
        <v>36</v>
      </c>
      <c r="D55">
        <v>0</v>
      </c>
      <c r="E55">
        <v>2.25</v>
      </c>
      <c r="F55">
        <v>0.90632696700000004</v>
      </c>
      <c r="G55">
        <v>1</v>
      </c>
      <c r="H55">
        <v>5</v>
      </c>
      <c r="I55">
        <v>5</v>
      </c>
      <c r="J55">
        <v>22</v>
      </c>
      <c r="K55">
        <v>5</v>
      </c>
      <c r="L55">
        <v>3</v>
      </c>
      <c r="M55">
        <v>1</v>
      </c>
      <c r="O55">
        <v>0</v>
      </c>
    </row>
    <row r="56" spans="1:15" x14ac:dyDescent="0.35">
      <c r="A56" t="s">
        <v>417</v>
      </c>
      <c r="B56" t="s">
        <v>418</v>
      </c>
      <c r="C56">
        <v>36</v>
      </c>
      <c r="D56">
        <v>0</v>
      </c>
      <c r="E56">
        <v>2</v>
      </c>
      <c r="F56">
        <v>0.79282496700000005</v>
      </c>
      <c r="G56">
        <v>1</v>
      </c>
      <c r="H56">
        <v>4</v>
      </c>
      <c r="I56">
        <v>10</v>
      </c>
      <c r="J56">
        <v>17</v>
      </c>
      <c r="K56">
        <v>8</v>
      </c>
      <c r="L56">
        <v>1</v>
      </c>
      <c r="M56">
        <v>0</v>
      </c>
      <c r="O56">
        <v>0</v>
      </c>
    </row>
    <row r="57" spans="1:15" x14ac:dyDescent="0.35">
      <c r="A57" t="s">
        <v>419</v>
      </c>
      <c r="B57" t="s">
        <v>420</v>
      </c>
      <c r="C57">
        <v>36</v>
      </c>
      <c r="D57">
        <v>0</v>
      </c>
      <c r="E57">
        <v>2.4166666669999999</v>
      </c>
      <c r="F57">
        <v>0.99642217099999997</v>
      </c>
      <c r="G57">
        <v>1</v>
      </c>
      <c r="H57">
        <v>4</v>
      </c>
      <c r="I57">
        <v>6</v>
      </c>
      <c r="J57">
        <v>16</v>
      </c>
      <c r="K57">
        <v>7</v>
      </c>
      <c r="L57">
        <v>7</v>
      </c>
      <c r="M57">
        <v>0</v>
      </c>
      <c r="O57">
        <v>0</v>
      </c>
    </row>
    <row r="58" spans="1:15" x14ac:dyDescent="0.35">
      <c r="A58" t="s">
        <v>421</v>
      </c>
      <c r="B58" t="s">
        <v>422</v>
      </c>
      <c r="C58">
        <v>36</v>
      </c>
      <c r="D58">
        <v>0</v>
      </c>
      <c r="E58">
        <v>1.9166666670000001</v>
      </c>
      <c r="F58">
        <v>0.93732141199999996</v>
      </c>
      <c r="G58">
        <v>1</v>
      </c>
      <c r="H58">
        <v>4</v>
      </c>
      <c r="I58">
        <v>14</v>
      </c>
      <c r="J58">
        <v>14</v>
      </c>
      <c r="K58">
        <v>5</v>
      </c>
      <c r="L58">
        <v>3</v>
      </c>
      <c r="M58">
        <v>0</v>
      </c>
      <c r="O58">
        <v>0</v>
      </c>
    </row>
    <row r="59" spans="1:15" x14ac:dyDescent="0.35">
      <c r="A59" t="s">
        <v>399</v>
      </c>
      <c r="B59" t="s">
        <v>400</v>
      </c>
      <c r="C59">
        <v>36</v>
      </c>
      <c r="D59">
        <v>0</v>
      </c>
      <c r="E59">
        <v>2.1944444440000002</v>
      </c>
      <c r="F59">
        <v>1.190904685</v>
      </c>
      <c r="G59">
        <v>1</v>
      </c>
      <c r="H59">
        <v>5</v>
      </c>
      <c r="I59">
        <v>11</v>
      </c>
      <c r="J59">
        <v>16</v>
      </c>
      <c r="K59">
        <v>2</v>
      </c>
      <c r="L59">
        <v>5</v>
      </c>
      <c r="M59">
        <v>2</v>
      </c>
      <c r="O59">
        <v>0</v>
      </c>
    </row>
    <row r="60" spans="1:15" x14ac:dyDescent="0.35">
      <c r="A60" t="s">
        <v>125</v>
      </c>
      <c r="B60" t="s">
        <v>126</v>
      </c>
      <c r="C60">
        <v>36</v>
      </c>
      <c r="D60">
        <v>0</v>
      </c>
      <c r="E60">
        <v>1.6944444439999999</v>
      </c>
      <c r="F60">
        <v>0.78629127399999998</v>
      </c>
      <c r="G60">
        <v>1</v>
      </c>
      <c r="H60">
        <v>4</v>
      </c>
      <c r="I60">
        <v>17</v>
      </c>
      <c r="J60">
        <v>14</v>
      </c>
      <c r="K60">
        <v>4</v>
      </c>
      <c r="L60">
        <v>1</v>
      </c>
      <c r="M60">
        <v>0</v>
      </c>
      <c r="O60">
        <v>0</v>
      </c>
    </row>
    <row r="61" spans="1:15" x14ac:dyDescent="0.35">
      <c r="A61" t="s">
        <v>127</v>
      </c>
      <c r="B61" t="s">
        <v>128</v>
      </c>
      <c r="C61">
        <v>36</v>
      </c>
      <c r="D61">
        <v>0</v>
      </c>
      <c r="E61">
        <v>2.388888889</v>
      </c>
      <c r="F61">
        <v>0.934353184</v>
      </c>
      <c r="G61">
        <v>1</v>
      </c>
      <c r="H61">
        <v>5</v>
      </c>
      <c r="I61">
        <v>6</v>
      </c>
      <c r="J61">
        <v>14</v>
      </c>
      <c r="K61">
        <v>13</v>
      </c>
      <c r="L61">
        <v>2</v>
      </c>
      <c r="M61">
        <v>1</v>
      </c>
      <c r="O61">
        <v>0</v>
      </c>
    </row>
    <row r="62" spans="1:15" x14ac:dyDescent="0.35">
      <c r="A62" t="s">
        <v>405</v>
      </c>
      <c r="B62" t="s">
        <v>406</v>
      </c>
      <c r="C62">
        <v>36</v>
      </c>
      <c r="D62">
        <v>0</v>
      </c>
      <c r="E62">
        <v>2.8055555559999998</v>
      </c>
      <c r="F62">
        <v>1.1166133600000001</v>
      </c>
      <c r="G62">
        <v>1</v>
      </c>
      <c r="H62">
        <v>5</v>
      </c>
      <c r="I62">
        <v>5</v>
      </c>
      <c r="J62">
        <v>9</v>
      </c>
      <c r="K62">
        <v>12</v>
      </c>
      <c r="L62">
        <v>8</v>
      </c>
      <c r="M62">
        <v>2</v>
      </c>
      <c r="O62">
        <v>0</v>
      </c>
    </row>
    <row r="63" spans="1:15" x14ac:dyDescent="0.35">
      <c r="A63" t="s">
        <v>407</v>
      </c>
      <c r="B63" t="s">
        <v>408</v>
      </c>
      <c r="C63">
        <v>36</v>
      </c>
      <c r="D63">
        <v>0</v>
      </c>
      <c r="E63">
        <v>3.361111111</v>
      </c>
      <c r="F63">
        <v>1.1748015709999999</v>
      </c>
      <c r="G63">
        <v>1</v>
      </c>
      <c r="H63">
        <v>5</v>
      </c>
      <c r="I63">
        <v>3</v>
      </c>
      <c r="J63">
        <v>6</v>
      </c>
      <c r="K63">
        <v>7</v>
      </c>
      <c r="L63">
        <v>15</v>
      </c>
      <c r="M63">
        <v>5</v>
      </c>
      <c r="O63">
        <v>0</v>
      </c>
    </row>
    <row r="64" spans="1:15" x14ac:dyDescent="0.35">
      <c r="A64" t="s">
        <v>409</v>
      </c>
      <c r="B64" t="s">
        <v>410</v>
      </c>
      <c r="C64">
        <v>36</v>
      </c>
      <c r="D64">
        <v>0</v>
      </c>
      <c r="E64">
        <v>2.5555555559999998</v>
      </c>
      <c r="F64">
        <v>1.1574465599999999</v>
      </c>
      <c r="G64">
        <v>1</v>
      </c>
      <c r="H64">
        <v>5</v>
      </c>
      <c r="I64">
        <v>6</v>
      </c>
      <c r="J64">
        <v>15</v>
      </c>
      <c r="K64">
        <v>6</v>
      </c>
      <c r="L64">
        <v>7</v>
      </c>
      <c r="M64">
        <v>2</v>
      </c>
      <c r="O64">
        <v>0</v>
      </c>
    </row>
    <row r="65" spans="1:15" x14ac:dyDescent="0.35">
      <c r="A65" t="s">
        <v>99</v>
      </c>
      <c r="B65" t="s">
        <v>100</v>
      </c>
      <c r="C65">
        <v>36</v>
      </c>
      <c r="D65">
        <v>0</v>
      </c>
      <c r="E65">
        <v>1.638888889</v>
      </c>
      <c r="F65">
        <v>0.866941348</v>
      </c>
      <c r="G65">
        <v>1</v>
      </c>
      <c r="H65">
        <v>5</v>
      </c>
      <c r="I65">
        <v>18</v>
      </c>
      <c r="J65">
        <v>16</v>
      </c>
      <c r="K65">
        <v>0</v>
      </c>
      <c r="L65">
        <v>1</v>
      </c>
      <c r="M65">
        <v>1</v>
      </c>
      <c r="O65">
        <v>0</v>
      </c>
    </row>
    <row r="66" spans="1:15" x14ac:dyDescent="0.35">
      <c r="A66" t="s">
        <v>137</v>
      </c>
      <c r="B66" t="s">
        <v>138</v>
      </c>
      <c r="C66">
        <v>36</v>
      </c>
      <c r="D66">
        <v>0</v>
      </c>
      <c r="E66">
        <v>3.4722</v>
      </c>
      <c r="F66">
        <v>1.1584746400000001</v>
      </c>
      <c r="G66">
        <v>1</v>
      </c>
      <c r="H66">
        <v>5</v>
      </c>
      <c r="I66">
        <v>2</v>
      </c>
      <c r="J66">
        <v>7</v>
      </c>
      <c r="K66">
        <v>5</v>
      </c>
      <c r="L66">
        <v>16</v>
      </c>
      <c r="M66">
        <v>6</v>
      </c>
      <c r="O66">
        <v>0</v>
      </c>
    </row>
    <row r="67" spans="1:15" x14ac:dyDescent="0.35">
      <c r="A67" t="s">
        <v>139</v>
      </c>
      <c r="B67" t="s">
        <v>140</v>
      </c>
      <c r="C67">
        <v>36</v>
      </c>
      <c r="D67">
        <v>0</v>
      </c>
      <c r="E67">
        <v>2.0833333330000001</v>
      </c>
      <c r="F67">
        <v>1.0246950770000001</v>
      </c>
      <c r="G67">
        <v>1</v>
      </c>
      <c r="H67">
        <v>4</v>
      </c>
      <c r="I67">
        <v>12</v>
      </c>
      <c r="J67">
        <v>14</v>
      </c>
      <c r="K67">
        <v>5</v>
      </c>
      <c r="L67">
        <v>5</v>
      </c>
      <c r="M67">
        <v>0</v>
      </c>
      <c r="O67">
        <v>0</v>
      </c>
    </row>
    <row r="68" spans="1:15" x14ac:dyDescent="0.35">
      <c r="A68" t="s">
        <v>141</v>
      </c>
      <c r="B68" t="s">
        <v>142</v>
      </c>
      <c r="C68">
        <v>36</v>
      </c>
      <c r="D68">
        <v>0</v>
      </c>
      <c r="E68">
        <v>2.0555555559999998</v>
      </c>
      <c r="F68">
        <v>1.0404516720000001</v>
      </c>
      <c r="G68">
        <v>1</v>
      </c>
      <c r="H68">
        <v>4</v>
      </c>
      <c r="I68">
        <v>14</v>
      </c>
      <c r="J68">
        <v>10</v>
      </c>
      <c r="K68">
        <v>8</v>
      </c>
      <c r="L68">
        <v>4</v>
      </c>
      <c r="M68">
        <v>0</v>
      </c>
      <c r="O68">
        <v>0</v>
      </c>
    </row>
    <row r="69" spans="1:15" x14ac:dyDescent="0.35">
      <c r="A69" t="s">
        <v>107</v>
      </c>
      <c r="B69" t="s">
        <v>108</v>
      </c>
      <c r="C69">
        <v>36</v>
      </c>
      <c r="D69">
        <v>0</v>
      </c>
      <c r="E69">
        <v>2.2777777779999999</v>
      </c>
      <c r="F69">
        <v>1.161553421</v>
      </c>
      <c r="G69">
        <v>1</v>
      </c>
      <c r="H69">
        <v>5</v>
      </c>
      <c r="I69">
        <v>10</v>
      </c>
      <c r="J69">
        <v>14</v>
      </c>
      <c r="K69">
        <v>6</v>
      </c>
      <c r="L69">
        <v>4</v>
      </c>
      <c r="M69">
        <v>2</v>
      </c>
      <c r="O69">
        <v>0</v>
      </c>
    </row>
    <row r="70" spans="1:15" x14ac:dyDescent="0.35">
      <c r="A70" t="s">
        <v>109</v>
      </c>
      <c r="B70" t="s">
        <v>110</v>
      </c>
      <c r="C70">
        <v>36</v>
      </c>
      <c r="D70">
        <v>0</v>
      </c>
      <c r="E70">
        <v>1.5277777779999999</v>
      </c>
      <c r="F70">
        <v>0.60879793100000001</v>
      </c>
      <c r="G70">
        <v>1</v>
      </c>
      <c r="H70">
        <v>3</v>
      </c>
      <c r="I70">
        <v>19</v>
      </c>
      <c r="J70">
        <v>15</v>
      </c>
      <c r="K70">
        <v>2</v>
      </c>
      <c r="L70">
        <v>0</v>
      </c>
      <c r="M70">
        <v>0</v>
      </c>
      <c r="O70">
        <v>0</v>
      </c>
    </row>
    <row r="71" spans="1:15" x14ac:dyDescent="0.35">
      <c r="A71" t="s">
        <v>363</v>
      </c>
      <c r="B71" t="s">
        <v>364</v>
      </c>
      <c r="C71">
        <v>36</v>
      </c>
      <c r="D71">
        <v>0</v>
      </c>
      <c r="E71">
        <v>1.861111111</v>
      </c>
      <c r="F71">
        <v>0.96073715100000001</v>
      </c>
      <c r="G71">
        <v>1</v>
      </c>
      <c r="H71">
        <v>5</v>
      </c>
      <c r="I71">
        <v>13</v>
      </c>
      <c r="J71">
        <v>19</v>
      </c>
      <c r="K71">
        <v>2</v>
      </c>
      <c r="L71">
        <v>0</v>
      </c>
      <c r="M71">
        <v>2</v>
      </c>
      <c r="O71">
        <v>0</v>
      </c>
    </row>
    <row r="72" spans="1:15" x14ac:dyDescent="0.35">
      <c r="A72" t="s">
        <v>149</v>
      </c>
      <c r="B72" t="s">
        <v>150</v>
      </c>
      <c r="C72">
        <v>36</v>
      </c>
      <c r="D72">
        <v>0</v>
      </c>
      <c r="E72">
        <v>1.4722</v>
      </c>
      <c r="F72">
        <v>0.55990362000000005</v>
      </c>
      <c r="G72">
        <v>1</v>
      </c>
      <c r="H72">
        <v>3</v>
      </c>
      <c r="I72">
        <v>20</v>
      </c>
      <c r="J72">
        <v>15</v>
      </c>
      <c r="K72">
        <v>1</v>
      </c>
      <c r="L72">
        <v>0</v>
      </c>
      <c r="M72">
        <v>0</v>
      </c>
      <c r="O72">
        <v>0</v>
      </c>
    </row>
    <row r="73" spans="1:15" x14ac:dyDescent="0.35">
      <c r="A73" t="s">
        <v>151</v>
      </c>
      <c r="B73" t="s">
        <v>152</v>
      </c>
      <c r="C73">
        <v>36</v>
      </c>
      <c r="D73">
        <v>0</v>
      </c>
      <c r="E73">
        <v>2.1666666669999999</v>
      </c>
      <c r="F73">
        <v>0.810643483</v>
      </c>
      <c r="G73">
        <v>1</v>
      </c>
      <c r="H73">
        <v>5</v>
      </c>
      <c r="I73">
        <v>6</v>
      </c>
      <c r="J73">
        <v>20</v>
      </c>
      <c r="K73">
        <v>9</v>
      </c>
      <c r="L73">
        <v>0</v>
      </c>
      <c r="M73">
        <v>1</v>
      </c>
      <c r="O73">
        <v>0</v>
      </c>
    </row>
    <row r="74" spans="1:15" x14ac:dyDescent="0.35">
      <c r="A74" t="s">
        <v>153</v>
      </c>
      <c r="B74" t="s">
        <v>154</v>
      </c>
      <c r="C74">
        <v>36</v>
      </c>
      <c r="D74">
        <v>0</v>
      </c>
      <c r="E74">
        <v>2.4444444440000002</v>
      </c>
      <c r="F74">
        <v>0.87650097999999999</v>
      </c>
      <c r="G74">
        <v>1</v>
      </c>
      <c r="H74">
        <v>5</v>
      </c>
      <c r="I74">
        <v>4</v>
      </c>
      <c r="J74">
        <v>16</v>
      </c>
      <c r="K74">
        <v>13</v>
      </c>
      <c r="L74">
        <v>2</v>
      </c>
      <c r="M74">
        <v>1</v>
      </c>
      <c r="O74">
        <v>0</v>
      </c>
    </row>
    <row r="75" spans="1:15" x14ac:dyDescent="0.35">
      <c r="A75" t="s">
        <v>371</v>
      </c>
      <c r="B75" t="s">
        <v>372</v>
      </c>
      <c r="C75">
        <v>36</v>
      </c>
      <c r="D75">
        <v>0</v>
      </c>
      <c r="E75">
        <v>2.5</v>
      </c>
      <c r="F75">
        <v>1.1338934190000001</v>
      </c>
      <c r="G75">
        <v>1</v>
      </c>
      <c r="H75">
        <v>5</v>
      </c>
      <c r="I75">
        <v>7</v>
      </c>
      <c r="J75">
        <v>14</v>
      </c>
      <c r="K75">
        <v>6</v>
      </c>
      <c r="L75">
        <v>8</v>
      </c>
      <c r="M75">
        <v>1</v>
      </c>
      <c r="O75">
        <v>0</v>
      </c>
    </row>
    <row r="76" spans="1:15" x14ac:dyDescent="0.35">
      <c r="A76" t="s">
        <v>373</v>
      </c>
      <c r="B76" t="s">
        <v>374</v>
      </c>
      <c r="C76">
        <v>36</v>
      </c>
      <c r="D76">
        <v>0</v>
      </c>
      <c r="E76">
        <v>1.7777777779999999</v>
      </c>
      <c r="F76">
        <v>0.63745525800000002</v>
      </c>
      <c r="G76">
        <v>1</v>
      </c>
      <c r="H76">
        <v>3</v>
      </c>
      <c r="I76">
        <v>12</v>
      </c>
      <c r="J76">
        <v>20</v>
      </c>
      <c r="K76">
        <v>4</v>
      </c>
      <c r="L76">
        <v>0</v>
      </c>
      <c r="M76">
        <v>0</v>
      </c>
      <c r="O76">
        <v>0</v>
      </c>
    </row>
    <row r="77" spans="1:15" x14ac:dyDescent="0.35">
      <c r="A77" t="s">
        <v>147</v>
      </c>
      <c r="B77" t="s">
        <v>148</v>
      </c>
      <c r="C77">
        <v>36</v>
      </c>
      <c r="D77">
        <v>0</v>
      </c>
      <c r="E77">
        <v>3.0555555559999998</v>
      </c>
      <c r="F77">
        <v>1.472499225</v>
      </c>
      <c r="G77">
        <v>1</v>
      </c>
      <c r="H77">
        <v>5</v>
      </c>
      <c r="I77">
        <v>5</v>
      </c>
      <c r="J77">
        <v>13</v>
      </c>
      <c r="K77">
        <v>2</v>
      </c>
      <c r="L77">
        <v>7</v>
      </c>
      <c r="M77">
        <v>9</v>
      </c>
      <c r="O77">
        <v>0</v>
      </c>
    </row>
    <row r="78" spans="1:15" x14ac:dyDescent="0.35">
      <c r="A78" t="s">
        <v>161</v>
      </c>
      <c r="B78" t="s">
        <v>162</v>
      </c>
      <c r="C78">
        <v>36</v>
      </c>
      <c r="D78">
        <v>0</v>
      </c>
      <c r="E78">
        <v>1.888888889</v>
      </c>
      <c r="F78">
        <v>0.78477577399999998</v>
      </c>
      <c r="G78">
        <v>1</v>
      </c>
      <c r="H78">
        <v>4</v>
      </c>
      <c r="I78">
        <v>12</v>
      </c>
      <c r="J78">
        <v>17</v>
      </c>
      <c r="K78">
        <v>6</v>
      </c>
      <c r="L78">
        <v>1</v>
      </c>
      <c r="M78">
        <v>0</v>
      </c>
      <c r="O78">
        <v>0</v>
      </c>
    </row>
    <row r="79" spans="1:15" x14ac:dyDescent="0.35">
      <c r="A79" t="s">
        <v>163</v>
      </c>
      <c r="B79" t="s">
        <v>164</v>
      </c>
      <c r="C79">
        <v>36</v>
      </c>
      <c r="D79">
        <v>0</v>
      </c>
      <c r="E79">
        <v>1.888888889</v>
      </c>
      <c r="F79">
        <v>1.0079052610000001</v>
      </c>
      <c r="G79">
        <v>1</v>
      </c>
      <c r="H79">
        <v>4</v>
      </c>
      <c r="I79">
        <v>16</v>
      </c>
      <c r="J79">
        <v>12</v>
      </c>
      <c r="K79">
        <v>4</v>
      </c>
      <c r="L79">
        <v>4</v>
      </c>
      <c r="M79">
        <v>0</v>
      </c>
      <c r="O79">
        <v>0</v>
      </c>
    </row>
    <row r="80" spans="1:15" x14ac:dyDescent="0.35">
      <c r="A80" t="s">
        <v>165</v>
      </c>
      <c r="B80" t="s">
        <v>166</v>
      </c>
      <c r="C80">
        <v>36</v>
      </c>
      <c r="D80">
        <v>0</v>
      </c>
      <c r="E80">
        <v>2.0555555559999998</v>
      </c>
      <c r="F80">
        <v>1.0939951539999999</v>
      </c>
      <c r="G80">
        <v>1</v>
      </c>
      <c r="H80">
        <v>4</v>
      </c>
      <c r="I80">
        <v>15</v>
      </c>
      <c r="J80">
        <v>9</v>
      </c>
      <c r="K80">
        <v>7</v>
      </c>
      <c r="L80">
        <v>5</v>
      </c>
      <c r="M80">
        <v>0</v>
      </c>
      <c r="O80">
        <v>0</v>
      </c>
    </row>
    <row r="81" spans="1:15" x14ac:dyDescent="0.35">
      <c r="A81" t="s">
        <v>155</v>
      </c>
      <c r="B81" t="s">
        <v>156</v>
      </c>
      <c r="C81">
        <v>36</v>
      </c>
      <c r="D81">
        <v>0</v>
      </c>
      <c r="E81">
        <v>2.1666666669999999</v>
      </c>
      <c r="F81">
        <v>0.87831006599999994</v>
      </c>
      <c r="G81">
        <v>1</v>
      </c>
      <c r="H81">
        <v>5</v>
      </c>
      <c r="I81">
        <v>7</v>
      </c>
      <c r="J81">
        <v>19</v>
      </c>
      <c r="K81">
        <v>8</v>
      </c>
      <c r="L81">
        <v>1</v>
      </c>
      <c r="M81">
        <v>1</v>
      </c>
      <c r="O81">
        <v>0</v>
      </c>
    </row>
    <row r="82" spans="1:15" x14ac:dyDescent="0.35">
      <c r="A82" t="s">
        <v>157</v>
      </c>
      <c r="B82" t="s">
        <v>158</v>
      </c>
      <c r="C82">
        <v>36</v>
      </c>
      <c r="D82">
        <v>0</v>
      </c>
      <c r="E82">
        <v>2.9166666669999999</v>
      </c>
      <c r="F82">
        <v>1.317465098</v>
      </c>
      <c r="G82">
        <v>1</v>
      </c>
      <c r="H82">
        <v>5</v>
      </c>
      <c r="I82">
        <v>6</v>
      </c>
      <c r="J82">
        <v>10</v>
      </c>
      <c r="K82">
        <v>5</v>
      </c>
      <c r="L82">
        <v>11</v>
      </c>
      <c r="M82">
        <v>4</v>
      </c>
      <c r="O82">
        <v>0</v>
      </c>
    </row>
    <row r="83" spans="1:15" x14ac:dyDescent="0.35">
      <c r="A83" t="s">
        <v>27</v>
      </c>
      <c r="B83" t="s">
        <v>28</v>
      </c>
      <c r="C83">
        <v>36</v>
      </c>
      <c r="D83">
        <v>0</v>
      </c>
      <c r="E83">
        <v>2</v>
      </c>
      <c r="F83">
        <v>1.242118007</v>
      </c>
      <c r="G83">
        <v>1</v>
      </c>
      <c r="H83">
        <v>5</v>
      </c>
      <c r="I83">
        <v>15</v>
      </c>
      <c r="J83">
        <v>14</v>
      </c>
      <c r="K83">
        <v>3</v>
      </c>
      <c r="L83">
        <v>0</v>
      </c>
      <c r="M83">
        <v>4</v>
      </c>
      <c r="O83">
        <v>0</v>
      </c>
    </row>
    <row r="84" spans="1:15" x14ac:dyDescent="0.35">
      <c r="A84" t="s">
        <v>173</v>
      </c>
      <c r="B84" t="s">
        <v>174</v>
      </c>
      <c r="C84">
        <v>36</v>
      </c>
      <c r="D84">
        <v>0</v>
      </c>
      <c r="E84">
        <v>3</v>
      </c>
      <c r="F84">
        <v>1.095445115</v>
      </c>
      <c r="G84">
        <v>1</v>
      </c>
      <c r="H84">
        <v>5</v>
      </c>
      <c r="I84">
        <v>3</v>
      </c>
      <c r="J84">
        <v>10</v>
      </c>
      <c r="K84">
        <v>9</v>
      </c>
      <c r="L84">
        <v>12</v>
      </c>
      <c r="M84">
        <v>2</v>
      </c>
      <c r="O84">
        <v>0</v>
      </c>
    </row>
    <row r="85" spans="1:15" x14ac:dyDescent="0.35">
      <c r="A85" t="s">
        <v>175</v>
      </c>
      <c r="B85" t="s">
        <v>176</v>
      </c>
      <c r="C85">
        <v>36</v>
      </c>
      <c r="D85">
        <v>0</v>
      </c>
      <c r="E85">
        <v>1.9166666670000001</v>
      </c>
      <c r="F85">
        <v>0.80622577500000003</v>
      </c>
      <c r="G85">
        <v>1</v>
      </c>
      <c r="H85">
        <v>4</v>
      </c>
      <c r="I85">
        <v>11</v>
      </c>
      <c r="J85">
        <v>19</v>
      </c>
      <c r="K85">
        <v>4</v>
      </c>
      <c r="L85">
        <v>2</v>
      </c>
      <c r="M85">
        <v>0</v>
      </c>
      <c r="O85">
        <v>0</v>
      </c>
    </row>
    <row r="86" spans="1:15" x14ac:dyDescent="0.35">
      <c r="A86" t="s">
        <v>33</v>
      </c>
      <c r="B86" t="s">
        <v>34</v>
      </c>
      <c r="C86">
        <v>36</v>
      </c>
      <c r="D86">
        <v>0</v>
      </c>
      <c r="E86">
        <v>2.0277777779999999</v>
      </c>
      <c r="F86">
        <v>0.970599553</v>
      </c>
      <c r="G86">
        <v>1</v>
      </c>
      <c r="H86">
        <v>4</v>
      </c>
      <c r="I86">
        <v>13</v>
      </c>
      <c r="J86">
        <v>12</v>
      </c>
      <c r="K86">
        <v>8</v>
      </c>
      <c r="L86">
        <v>3</v>
      </c>
      <c r="M86">
        <v>0</v>
      </c>
      <c r="O86">
        <v>0</v>
      </c>
    </row>
    <row r="87" spans="1:15" x14ac:dyDescent="0.35">
      <c r="A87" t="s">
        <v>35</v>
      </c>
      <c r="B87" t="s">
        <v>36</v>
      </c>
      <c r="C87">
        <v>36</v>
      </c>
      <c r="D87">
        <v>0</v>
      </c>
      <c r="E87">
        <v>2.5833333330000001</v>
      </c>
      <c r="F87">
        <v>1.155731061</v>
      </c>
      <c r="G87">
        <v>1</v>
      </c>
      <c r="H87">
        <v>5</v>
      </c>
      <c r="I87">
        <v>8</v>
      </c>
      <c r="J87">
        <v>9</v>
      </c>
      <c r="K87">
        <v>10</v>
      </c>
      <c r="L87">
        <v>8</v>
      </c>
      <c r="M87">
        <v>1</v>
      </c>
      <c r="O87">
        <v>0</v>
      </c>
    </row>
    <row r="88" spans="1:15" x14ac:dyDescent="0.35">
      <c r="A88" t="s">
        <v>37</v>
      </c>
      <c r="B88" t="s">
        <v>38</v>
      </c>
      <c r="C88">
        <v>36</v>
      </c>
      <c r="D88">
        <v>0</v>
      </c>
      <c r="E88">
        <v>1.7777777779999999</v>
      </c>
      <c r="F88">
        <v>0.86556706800000005</v>
      </c>
      <c r="G88">
        <v>1</v>
      </c>
      <c r="H88">
        <v>4</v>
      </c>
      <c r="I88">
        <v>15</v>
      </c>
      <c r="J88">
        <v>17</v>
      </c>
      <c r="K88">
        <v>1</v>
      </c>
      <c r="L88">
        <v>3</v>
      </c>
      <c r="M88">
        <v>0</v>
      </c>
      <c r="O88">
        <v>0</v>
      </c>
    </row>
    <row r="89" spans="1:15" x14ac:dyDescent="0.35">
      <c r="A89" t="s">
        <v>135</v>
      </c>
      <c r="B89" t="s">
        <v>136</v>
      </c>
      <c r="C89">
        <v>36</v>
      </c>
      <c r="D89">
        <v>0</v>
      </c>
      <c r="E89">
        <v>1.8055555560000001</v>
      </c>
      <c r="F89">
        <v>0.88864083800000004</v>
      </c>
      <c r="G89">
        <v>1</v>
      </c>
      <c r="H89">
        <v>5</v>
      </c>
      <c r="I89">
        <v>14</v>
      </c>
      <c r="J89">
        <v>18</v>
      </c>
      <c r="K89">
        <v>2</v>
      </c>
      <c r="L89">
        <v>1</v>
      </c>
      <c r="M89">
        <v>1</v>
      </c>
      <c r="O89">
        <v>0</v>
      </c>
    </row>
    <row r="90" spans="1:15" x14ac:dyDescent="0.35">
      <c r="A90" t="s">
        <v>185</v>
      </c>
      <c r="B90" t="s">
        <v>186</v>
      </c>
      <c r="C90">
        <v>36</v>
      </c>
      <c r="D90">
        <v>0</v>
      </c>
      <c r="E90">
        <v>1.7222</v>
      </c>
      <c r="F90">
        <v>0.70147237399999995</v>
      </c>
      <c r="G90">
        <v>1</v>
      </c>
      <c r="H90">
        <v>4</v>
      </c>
      <c r="I90">
        <v>14</v>
      </c>
      <c r="J90">
        <v>19</v>
      </c>
      <c r="K90">
        <v>2</v>
      </c>
      <c r="L90">
        <v>1</v>
      </c>
      <c r="M90">
        <v>0</v>
      </c>
      <c r="O90">
        <v>0</v>
      </c>
    </row>
    <row r="91" spans="1:15" x14ac:dyDescent="0.35">
      <c r="A91" t="s">
        <v>187</v>
      </c>
      <c r="B91" t="s">
        <v>188</v>
      </c>
      <c r="C91">
        <v>36</v>
      </c>
      <c r="D91">
        <v>0</v>
      </c>
      <c r="E91">
        <v>2.2222222220000001</v>
      </c>
      <c r="F91">
        <v>0.89796949100000001</v>
      </c>
      <c r="G91">
        <v>1</v>
      </c>
      <c r="H91">
        <v>4</v>
      </c>
      <c r="I91">
        <v>7</v>
      </c>
      <c r="J91">
        <v>18</v>
      </c>
      <c r="K91">
        <v>7</v>
      </c>
      <c r="L91">
        <v>4</v>
      </c>
      <c r="M91">
        <v>0</v>
      </c>
      <c r="O91">
        <v>0</v>
      </c>
    </row>
    <row r="92" spans="1:15" x14ac:dyDescent="0.35">
      <c r="A92" t="s">
        <v>189</v>
      </c>
      <c r="B92" t="s">
        <v>190</v>
      </c>
      <c r="C92">
        <v>36</v>
      </c>
      <c r="D92">
        <v>0</v>
      </c>
      <c r="E92">
        <v>2.4722222220000001</v>
      </c>
      <c r="F92">
        <v>0.970599553</v>
      </c>
      <c r="G92">
        <v>1</v>
      </c>
      <c r="H92">
        <v>4</v>
      </c>
      <c r="I92">
        <v>6</v>
      </c>
      <c r="J92">
        <v>13</v>
      </c>
      <c r="K92">
        <v>11</v>
      </c>
      <c r="L92">
        <v>6</v>
      </c>
      <c r="M92">
        <v>0</v>
      </c>
      <c r="O92">
        <v>0</v>
      </c>
    </row>
    <row r="93" spans="1:15" x14ac:dyDescent="0.35">
      <c r="A93" t="s">
        <v>143</v>
      </c>
      <c r="B93" t="s">
        <v>144</v>
      </c>
      <c r="C93">
        <v>36</v>
      </c>
      <c r="D93">
        <v>0</v>
      </c>
      <c r="E93">
        <v>2.3055555559999998</v>
      </c>
      <c r="F93">
        <v>1.2832869499999999</v>
      </c>
      <c r="G93">
        <v>1</v>
      </c>
      <c r="H93">
        <v>5</v>
      </c>
      <c r="I93">
        <v>13</v>
      </c>
      <c r="J93">
        <v>9</v>
      </c>
      <c r="K93">
        <v>6</v>
      </c>
      <c r="L93">
        <v>6</v>
      </c>
      <c r="M93">
        <v>2</v>
      </c>
      <c r="O93">
        <v>0</v>
      </c>
    </row>
    <row r="94" spans="1:15" x14ac:dyDescent="0.35">
      <c r="A94" t="s">
        <v>145</v>
      </c>
      <c r="B94" t="s">
        <v>146</v>
      </c>
      <c r="C94">
        <v>36</v>
      </c>
      <c r="D94">
        <v>0</v>
      </c>
      <c r="E94">
        <v>1.8055555560000001</v>
      </c>
      <c r="F94">
        <v>0.82182530099999995</v>
      </c>
      <c r="G94">
        <v>1</v>
      </c>
      <c r="H94">
        <v>4</v>
      </c>
      <c r="I94">
        <v>14</v>
      </c>
      <c r="J94">
        <v>17</v>
      </c>
      <c r="K94">
        <v>3</v>
      </c>
      <c r="L94">
        <v>2</v>
      </c>
      <c r="M94">
        <v>0</v>
      </c>
      <c r="O94">
        <v>0</v>
      </c>
    </row>
    <row r="95" spans="1:15" x14ac:dyDescent="0.35">
      <c r="A95" t="s">
        <v>375</v>
      </c>
      <c r="B95" t="s">
        <v>376</v>
      </c>
      <c r="C95">
        <v>36</v>
      </c>
      <c r="D95">
        <v>0</v>
      </c>
      <c r="E95">
        <v>2.0277777779999999</v>
      </c>
      <c r="F95">
        <v>0.94070220299999996</v>
      </c>
      <c r="G95">
        <v>1</v>
      </c>
      <c r="H95">
        <v>4</v>
      </c>
      <c r="I95">
        <v>11</v>
      </c>
      <c r="J95">
        <v>17</v>
      </c>
      <c r="K95">
        <v>4</v>
      </c>
      <c r="L95">
        <v>4</v>
      </c>
      <c r="M95">
        <v>0</v>
      </c>
      <c r="O95">
        <v>0</v>
      </c>
    </row>
    <row r="96" spans="1:15" x14ac:dyDescent="0.35">
      <c r="A96" t="s">
        <v>197</v>
      </c>
      <c r="B96" t="s">
        <v>198</v>
      </c>
      <c r="C96">
        <v>36</v>
      </c>
      <c r="D96">
        <v>0</v>
      </c>
      <c r="E96">
        <v>2.8056000000000001</v>
      </c>
      <c r="F96">
        <v>1.190904685</v>
      </c>
      <c r="G96">
        <v>1</v>
      </c>
      <c r="H96">
        <v>5</v>
      </c>
      <c r="I96">
        <v>5</v>
      </c>
      <c r="J96">
        <v>12</v>
      </c>
      <c r="K96">
        <v>6</v>
      </c>
      <c r="L96">
        <v>11</v>
      </c>
      <c r="M96">
        <v>2</v>
      </c>
      <c r="O96">
        <v>0</v>
      </c>
    </row>
    <row r="97" spans="1:15" x14ac:dyDescent="0.35">
      <c r="A97" t="s">
        <v>199</v>
      </c>
      <c r="B97" t="s">
        <v>200</v>
      </c>
      <c r="C97">
        <v>36</v>
      </c>
      <c r="D97">
        <v>0</v>
      </c>
      <c r="E97">
        <v>2</v>
      </c>
      <c r="F97">
        <v>0.95618288699999998</v>
      </c>
      <c r="G97">
        <v>1</v>
      </c>
      <c r="H97">
        <v>4</v>
      </c>
      <c r="I97">
        <v>12</v>
      </c>
      <c r="J97">
        <v>16</v>
      </c>
      <c r="K97">
        <v>4</v>
      </c>
      <c r="L97">
        <v>4</v>
      </c>
      <c r="M97">
        <v>0</v>
      </c>
      <c r="O97">
        <v>0</v>
      </c>
    </row>
    <row r="98" spans="1:15" x14ac:dyDescent="0.35">
      <c r="A98" t="s">
        <v>381</v>
      </c>
      <c r="B98" t="s">
        <v>382</v>
      </c>
      <c r="C98">
        <v>36</v>
      </c>
      <c r="D98">
        <v>0</v>
      </c>
      <c r="E98">
        <v>2.0555555559999998</v>
      </c>
      <c r="F98">
        <v>0.86004798699999996</v>
      </c>
      <c r="G98">
        <v>1</v>
      </c>
      <c r="H98">
        <v>4</v>
      </c>
      <c r="I98">
        <v>10</v>
      </c>
      <c r="J98">
        <v>16</v>
      </c>
      <c r="K98">
        <v>8</v>
      </c>
      <c r="L98">
        <v>2</v>
      </c>
      <c r="M98">
        <v>0</v>
      </c>
      <c r="O98">
        <v>0</v>
      </c>
    </row>
    <row r="99" spans="1:15" x14ac:dyDescent="0.35">
      <c r="A99" t="s">
        <v>383</v>
      </c>
      <c r="B99" t="s">
        <v>384</v>
      </c>
      <c r="C99">
        <v>36</v>
      </c>
      <c r="D99">
        <v>0</v>
      </c>
      <c r="E99">
        <v>1.75</v>
      </c>
      <c r="F99">
        <v>0.76997216999999996</v>
      </c>
      <c r="G99">
        <v>1</v>
      </c>
      <c r="H99">
        <v>4</v>
      </c>
      <c r="I99">
        <v>15</v>
      </c>
      <c r="J99">
        <v>16</v>
      </c>
      <c r="K99">
        <v>4</v>
      </c>
      <c r="L99">
        <v>1</v>
      </c>
      <c r="M99">
        <v>0</v>
      </c>
      <c r="O99">
        <v>0</v>
      </c>
    </row>
    <row r="100" spans="1:15" x14ac:dyDescent="0.35">
      <c r="A100" t="s">
        <v>169</v>
      </c>
      <c r="B100" t="s">
        <v>170</v>
      </c>
      <c r="C100">
        <v>36</v>
      </c>
      <c r="D100">
        <v>0</v>
      </c>
      <c r="E100">
        <v>1.611111111</v>
      </c>
      <c r="F100">
        <v>0.68776149399999997</v>
      </c>
      <c r="G100">
        <v>1</v>
      </c>
      <c r="H100">
        <v>3</v>
      </c>
      <c r="I100">
        <v>18</v>
      </c>
      <c r="J100">
        <v>14</v>
      </c>
      <c r="K100">
        <v>4</v>
      </c>
      <c r="L100">
        <v>0</v>
      </c>
      <c r="M100">
        <v>0</v>
      </c>
      <c r="O100">
        <v>0</v>
      </c>
    </row>
    <row r="101" spans="1:15" x14ac:dyDescent="0.35">
      <c r="A101" t="s">
        <v>159</v>
      </c>
      <c r="B101" t="s">
        <v>160</v>
      </c>
      <c r="C101">
        <v>36</v>
      </c>
      <c r="D101">
        <v>0</v>
      </c>
      <c r="E101">
        <v>1.8055555560000001</v>
      </c>
      <c r="F101">
        <v>0.82182530099999995</v>
      </c>
      <c r="G101">
        <v>1</v>
      </c>
      <c r="H101">
        <v>5</v>
      </c>
      <c r="I101">
        <v>13</v>
      </c>
      <c r="J101">
        <v>19</v>
      </c>
      <c r="K101">
        <v>3</v>
      </c>
      <c r="L101">
        <v>0</v>
      </c>
      <c r="M101">
        <v>1</v>
      </c>
      <c r="O101">
        <v>0</v>
      </c>
    </row>
    <row r="102" spans="1:15" x14ac:dyDescent="0.35">
      <c r="A102" t="s">
        <v>209</v>
      </c>
      <c r="B102" t="s">
        <v>210</v>
      </c>
      <c r="C102">
        <v>36</v>
      </c>
      <c r="D102">
        <v>0</v>
      </c>
      <c r="E102">
        <v>2.0833333330000001</v>
      </c>
      <c r="F102">
        <v>1.0522085619999999</v>
      </c>
      <c r="G102">
        <v>1</v>
      </c>
      <c r="H102">
        <v>4</v>
      </c>
      <c r="I102">
        <v>12</v>
      </c>
      <c r="J102">
        <v>15</v>
      </c>
      <c r="K102">
        <v>3</v>
      </c>
      <c r="L102">
        <v>6</v>
      </c>
      <c r="M102">
        <v>0</v>
      </c>
      <c r="O102">
        <v>0</v>
      </c>
    </row>
    <row r="103" spans="1:15" x14ac:dyDescent="0.35">
      <c r="A103" t="s">
        <v>211</v>
      </c>
      <c r="B103" t="s">
        <v>212</v>
      </c>
      <c r="C103">
        <v>36</v>
      </c>
      <c r="D103">
        <v>0</v>
      </c>
      <c r="E103">
        <v>1.7777777779999999</v>
      </c>
      <c r="F103">
        <v>0.63745525800000002</v>
      </c>
      <c r="G103">
        <v>1</v>
      </c>
      <c r="H103">
        <v>3</v>
      </c>
      <c r="I103">
        <v>12</v>
      </c>
      <c r="J103">
        <v>20</v>
      </c>
      <c r="K103">
        <v>4</v>
      </c>
      <c r="L103">
        <v>0</v>
      </c>
      <c r="M103">
        <v>0</v>
      </c>
      <c r="O103">
        <v>0</v>
      </c>
    </row>
    <row r="104" spans="1:15" x14ac:dyDescent="0.35">
      <c r="A104" t="s">
        <v>213</v>
      </c>
      <c r="B104" t="s">
        <v>214</v>
      </c>
      <c r="C104">
        <v>36</v>
      </c>
      <c r="D104">
        <v>0</v>
      </c>
      <c r="E104">
        <v>2</v>
      </c>
      <c r="F104">
        <v>0.861891607</v>
      </c>
      <c r="G104">
        <v>1</v>
      </c>
      <c r="H104">
        <v>4</v>
      </c>
      <c r="I104">
        <v>12</v>
      </c>
      <c r="J104">
        <v>13</v>
      </c>
      <c r="K104">
        <v>10</v>
      </c>
      <c r="L104">
        <v>1</v>
      </c>
      <c r="M104">
        <v>0</v>
      </c>
      <c r="O104">
        <v>0</v>
      </c>
    </row>
    <row r="105" spans="1:15" x14ac:dyDescent="0.35">
      <c r="A105" t="s">
        <v>167</v>
      </c>
      <c r="B105" t="s">
        <v>168</v>
      </c>
      <c r="C105">
        <v>36</v>
      </c>
      <c r="D105">
        <v>0</v>
      </c>
      <c r="E105">
        <v>2.5</v>
      </c>
      <c r="F105">
        <v>1.1338934190000001</v>
      </c>
      <c r="G105">
        <v>1</v>
      </c>
      <c r="H105">
        <v>4</v>
      </c>
      <c r="I105">
        <v>8</v>
      </c>
      <c r="J105">
        <v>12</v>
      </c>
      <c r="K105">
        <v>6</v>
      </c>
      <c r="L105">
        <v>10</v>
      </c>
      <c r="M105">
        <v>0</v>
      </c>
      <c r="O105">
        <v>0</v>
      </c>
    </row>
    <row r="106" spans="1:15" x14ac:dyDescent="0.35">
      <c r="A106" t="s">
        <v>97</v>
      </c>
      <c r="B106" t="s">
        <v>98</v>
      </c>
      <c r="C106">
        <v>36</v>
      </c>
      <c r="D106">
        <v>0</v>
      </c>
      <c r="E106">
        <v>1.638888889</v>
      </c>
      <c r="F106">
        <v>0.68254891100000004</v>
      </c>
      <c r="G106">
        <v>1</v>
      </c>
      <c r="H106">
        <v>3</v>
      </c>
      <c r="I106">
        <v>17</v>
      </c>
      <c r="J106">
        <v>15</v>
      </c>
      <c r="K106">
        <v>4</v>
      </c>
      <c r="L106">
        <v>0</v>
      </c>
      <c r="M106">
        <v>0</v>
      </c>
      <c r="O106">
        <v>0</v>
      </c>
    </row>
    <row r="107" spans="1:15" x14ac:dyDescent="0.35">
      <c r="A107" t="s">
        <v>111</v>
      </c>
      <c r="B107" t="s">
        <v>112</v>
      </c>
      <c r="C107">
        <v>36</v>
      </c>
      <c r="D107">
        <v>0</v>
      </c>
      <c r="E107">
        <v>2.7222222220000001</v>
      </c>
      <c r="F107">
        <v>1.136689708</v>
      </c>
      <c r="G107">
        <v>1</v>
      </c>
      <c r="H107">
        <v>5</v>
      </c>
      <c r="I107">
        <v>3</v>
      </c>
      <c r="J107">
        <v>16</v>
      </c>
      <c r="K107">
        <v>9</v>
      </c>
      <c r="L107">
        <v>4</v>
      </c>
      <c r="M107">
        <v>4</v>
      </c>
      <c r="O107">
        <v>0</v>
      </c>
    </row>
    <row r="108" spans="1:15" x14ac:dyDescent="0.35">
      <c r="A108" t="s">
        <v>221</v>
      </c>
      <c r="B108" t="s">
        <v>222</v>
      </c>
      <c r="C108">
        <v>36</v>
      </c>
      <c r="D108">
        <v>0</v>
      </c>
      <c r="E108">
        <v>3.25</v>
      </c>
      <c r="F108">
        <v>0.99642217099999997</v>
      </c>
      <c r="G108">
        <v>1</v>
      </c>
      <c r="H108">
        <v>5</v>
      </c>
      <c r="I108">
        <v>1</v>
      </c>
      <c r="J108">
        <v>9</v>
      </c>
      <c r="K108">
        <v>8</v>
      </c>
      <c r="L108">
        <v>16</v>
      </c>
      <c r="M108">
        <v>2</v>
      </c>
      <c r="O108">
        <v>0</v>
      </c>
    </row>
    <row r="109" spans="1:15" x14ac:dyDescent="0.35">
      <c r="A109" t="s">
        <v>223</v>
      </c>
      <c r="B109" t="s">
        <v>224</v>
      </c>
      <c r="C109">
        <v>36</v>
      </c>
      <c r="D109">
        <v>0</v>
      </c>
      <c r="E109">
        <v>2.1944444440000002</v>
      </c>
      <c r="F109">
        <v>0.98036274499999998</v>
      </c>
      <c r="G109">
        <v>1</v>
      </c>
      <c r="H109">
        <v>5</v>
      </c>
      <c r="I109">
        <v>7</v>
      </c>
      <c r="J109">
        <v>21</v>
      </c>
      <c r="K109">
        <v>3</v>
      </c>
      <c r="L109">
        <v>4</v>
      </c>
      <c r="M109">
        <v>1</v>
      </c>
      <c r="O109">
        <v>0</v>
      </c>
    </row>
    <row r="110" spans="1:15" x14ac:dyDescent="0.35">
      <c r="A110" t="s">
        <v>117</v>
      </c>
      <c r="B110" t="s">
        <v>118</v>
      </c>
      <c r="C110">
        <v>36</v>
      </c>
      <c r="D110">
        <v>0</v>
      </c>
      <c r="E110">
        <v>2.611111111</v>
      </c>
      <c r="F110">
        <v>0.87105118000000004</v>
      </c>
      <c r="G110">
        <v>1</v>
      </c>
      <c r="H110">
        <v>4</v>
      </c>
      <c r="I110">
        <v>3</v>
      </c>
      <c r="J110">
        <v>14</v>
      </c>
      <c r="K110">
        <v>13</v>
      </c>
      <c r="L110">
        <v>6</v>
      </c>
      <c r="M110">
        <v>0</v>
      </c>
      <c r="O110">
        <v>0</v>
      </c>
    </row>
    <row r="111" spans="1:15" x14ac:dyDescent="0.35">
      <c r="A111" t="s">
        <v>119</v>
      </c>
      <c r="B111" t="s">
        <v>120</v>
      </c>
      <c r="C111">
        <v>36</v>
      </c>
      <c r="D111">
        <v>0</v>
      </c>
      <c r="E111">
        <v>2.5</v>
      </c>
      <c r="F111">
        <v>0.94112394799999999</v>
      </c>
      <c r="G111">
        <v>1</v>
      </c>
      <c r="H111">
        <v>4</v>
      </c>
      <c r="I111">
        <v>3</v>
      </c>
      <c r="J111">
        <v>20</v>
      </c>
      <c r="K111">
        <v>5</v>
      </c>
      <c r="L111">
        <v>8</v>
      </c>
      <c r="M111">
        <v>0</v>
      </c>
      <c r="O111">
        <v>0</v>
      </c>
    </row>
    <row r="112" spans="1:15" x14ac:dyDescent="0.35">
      <c r="A112" t="s">
        <v>385</v>
      </c>
      <c r="B112" t="s">
        <v>386</v>
      </c>
      <c r="C112">
        <v>36</v>
      </c>
      <c r="D112">
        <v>0</v>
      </c>
      <c r="E112">
        <v>1.861111111</v>
      </c>
      <c r="F112">
        <v>0.89929425600000001</v>
      </c>
      <c r="G112">
        <v>1</v>
      </c>
      <c r="H112">
        <v>4</v>
      </c>
      <c r="I112">
        <v>15</v>
      </c>
      <c r="J112">
        <v>13</v>
      </c>
      <c r="K112">
        <v>6</v>
      </c>
      <c r="L112">
        <v>2</v>
      </c>
      <c r="M112">
        <v>0</v>
      </c>
      <c r="O112">
        <v>0</v>
      </c>
    </row>
    <row r="113" spans="1:15" x14ac:dyDescent="0.35">
      <c r="A113" t="s">
        <v>87</v>
      </c>
      <c r="B113" t="s">
        <v>88</v>
      </c>
      <c r="C113">
        <v>36</v>
      </c>
      <c r="D113">
        <v>0</v>
      </c>
      <c r="E113">
        <v>1.4444444439999999</v>
      </c>
      <c r="F113">
        <v>0.65222452099999995</v>
      </c>
      <c r="G113">
        <v>1</v>
      </c>
      <c r="H113">
        <v>4</v>
      </c>
      <c r="I113">
        <v>22</v>
      </c>
      <c r="J113">
        <v>13</v>
      </c>
      <c r="K113">
        <v>0</v>
      </c>
      <c r="L113">
        <v>1</v>
      </c>
      <c r="M113">
        <v>0</v>
      </c>
      <c r="O113">
        <v>0</v>
      </c>
    </row>
    <row r="114" spans="1:15" x14ac:dyDescent="0.35">
      <c r="A114" t="s">
        <v>233</v>
      </c>
      <c r="B114" t="s">
        <v>234</v>
      </c>
      <c r="C114">
        <v>36</v>
      </c>
      <c r="D114">
        <v>0</v>
      </c>
      <c r="E114">
        <v>1.6389</v>
      </c>
      <c r="F114">
        <v>0.68254891100000004</v>
      </c>
      <c r="G114">
        <v>1</v>
      </c>
      <c r="H114">
        <v>4</v>
      </c>
      <c r="I114">
        <v>16</v>
      </c>
      <c r="J114">
        <v>18</v>
      </c>
      <c r="K114">
        <v>1</v>
      </c>
      <c r="L114">
        <v>1</v>
      </c>
      <c r="M114">
        <v>0</v>
      </c>
      <c r="O114">
        <v>0</v>
      </c>
    </row>
    <row r="115" spans="1:15" x14ac:dyDescent="0.35">
      <c r="A115" t="s">
        <v>235</v>
      </c>
      <c r="B115" t="s">
        <v>236</v>
      </c>
      <c r="C115">
        <v>36</v>
      </c>
      <c r="D115">
        <v>0</v>
      </c>
      <c r="E115">
        <v>1.8055555560000001</v>
      </c>
      <c r="F115">
        <v>0.88864083800000004</v>
      </c>
      <c r="G115">
        <v>1</v>
      </c>
      <c r="H115">
        <v>5</v>
      </c>
      <c r="I115">
        <v>14</v>
      </c>
      <c r="J115">
        <v>18</v>
      </c>
      <c r="K115">
        <v>2</v>
      </c>
      <c r="L115">
        <v>1</v>
      </c>
      <c r="M115">
        <v>1</v>
      </c>
      <c r="O115">
        <v>0</v>
      </c>
    </row>
    <row r="116" spans="1:15" x14ac:dyDescent="0.35">
      <c r="A116" t="s">
        <v>237</v>
      </c>
      <c r="B116" t="s">
        <v>238</v>
      </c>
      <c r="C116">
        <v>36</v>
      </c>
      <c r="D116">
        <v>0</v>
      </c>
      <c r="E116">
        <v>2.138888889</v>
      </c>
      <c r="F116">
        <v>1.0461569879999999</v>
      </c>
      <c r="G116">
        <v>1</v>
      </c>
      <c r="H116">
        <v>5</v>
      </c>
      <c r="I116">
        <v>11</v>
      </c>
      <c r="J116">
        <v>14</v>
      </c>
      <c r="K116">
        <v>7</v>
      </c>
      <c r="L116">
        <v>3</v>
      </c>
      <c r="M116">
        <v>1</v>
      </c>
      <c r="O116">
        <v>0</v>
      </c>
    </row>
    <row r="117" spans="1:15" x14ac:dyDescent="0.35">
      <c r="A117" t="s">
        <v>95</v>
      </c>
      <c r="B117" t="s">
        <v>96</v>
      </c>
      <c r="C117">
        <v>36</v>
      </c>
      <c r="D117">
        <v>0</v>
      </c>
      <c r="E117">
        <v>1.6944444439999999</v>
      </c>
      <c r="F117">
        <v>0.66844999599999999</v>
      </c>
      <c r="G117">
        <v>1</v>
      </c>
      <c r="H117">
        <v>3</v>
      </c>
      <c r="I117">
        <v>15</v>
      </c>
      <c r="J117">
        <v>17</v>
      </c>
      <c r="K117">
        <v>4</v>
      </c>
      <c r="L117">
        <v>0</v>
      </c>
      <c r="M117">
        <v>0</v>
      </c>
      <c r="O117">
        <v>0</v>
      </c>
    </row>
    <row r="118" spans="1:15" x14ac:dyDescent="0.35">
      <c r="A118" t="s">
        <v>337</v>
      </c>
      <c r="B118" t="s">
        <v>338</v>
      </c>
      <c r="C118">
        <v>36</v>
      </c>
      <c r="D118">
        <v>0</v>
      </c>
      <c r="E118">
        <v>1.9166666670000001</v>
      </c>
      <c r="F118">
        <v>0.90632696700000004</v>
      </c>
      <c r="G118">
        <v>1</v>
      </c>
      <c r="H118">
        <v>5</v>
      </c>
      <c r="I118">
        <v>13</v>
      </c>
      <c r="J118">
        <v>15</v>
      </c>
      <c r="K118">
        <v>7</v>
      </c>
      <c r="L118">
        <v>0</v>
      </c>
      <c r="M118">
        <v>1</v>
      </c>
      <c r="O118">
        <v>0</v>
      </c>
    </row>
    <row r="119" spans="1:15" x14ac:dyDescent="0.35">
      <c r="A119" t="s">
        <v>351</v>
      </c>
      <c r="B119" t="s">
        <v>352</v>
      </c>
      <c r="C119">
        <v>36</v>
      </c>
      <c r="D119">
        <v>0</v>
      </c>
      <c r="E119">
        <v>1.9722222220000001</v>
      </c>
      <c r="F119">
        <v>0.970599553</v>
      </c>
      <c r="G119">
        <v>1</v>
      </c>
      <c r="H119">
        <v>5</v>
      </c>
      <c r="I119">
        <v>12</v>
      </c>
      <c r="J119">
        <v>17</v>
      </c>
      <c r="K119">
        <v>4</v>
      </c>
      <c r="L119">
        <v>2</v>
      </c>
      <c r="M119">
        <v>1</v>
      </c>
      <c r="O119">
        <v>0</v>
      </c>
    </row>
    <row r="120" spans="1:15" x14ac:dyDescent="0.35">
      <c r="A120" t="s">
        <v>245</v>
      </c>
      <c r="B120" t="s">
        <v>246</v>
      </c>
      <c r="C120">
        <v>36</v>
      </c>
      <c r="D120">
        <v>0</v>
      </c>
      <c r="E120">
        <v>1.5556000000000001</v>
      </c>
      <c r="F120">
        <v>0.65222452099999995</v>
      </c>
      <c r="G120">
        <v>1</v>
      </c>
      <c r="H120">
        <v>3</v>
      </c>
      <c r="I120">
        <v>19</v>
      </c>
      <c r="J120">
        <v>14</v>
      </c>
      <c r="K120">
        <v>3</v>
      </c>
      <c r="L120">
        <v>0</v>
      </c>
      <c r="M120">
        <v>0</v>
      </c>
      <c r="O120">
        <v>0</v>
      </c>
    </row>
    <row r="121" spans="1:15" x14ac:dyDescent="0.35">
      <c r="A121" t="s">
        <v>247</v>
      </c>
      <c r="B121" t="s">
        <v>248</v>
      </c>
      <c r="C121">
        <v>36</v>
      </c>
      <c r="D121">
        <v>0</v>
      </c>
      <c r="E121">
        <v>1.9722222220000001</v>
      </c>
      <c r="F121">
        <v>0.87785814399999995</v>
      </c>
      <c r="G121">
        <v>1</v>
      </c>
      <c r="H121">
        <v>4</v>
      </c>
      <c r="I121">
        <v>11</v>
      </c>
      <c r="J121">
        <v>18</v>
      </c>
      <c r="K121">
        <v>4</v>
      </c>
      <c r="L121">
        <v>3</v>
      </c>
      <c r="M121">
        <v>0</v>
      </c>
      <c r="O121">
        <v>0</v>
      </c>
    </row>
    <row r="122" spans="1:15" x14ac:dyDescent="0.35">
      <c r="A122" t="s">
        <v>357</v>
      </c>
      <c r="B122" t="s">
        <v>358</v>
      </c>
      <c r="C122">
        <v>36</v>
      </c>
      <c r="D122">
        <v>0</v>
      </c>
      <c r="E122">
        <v>1.9722222220000001</v>
      </c>
      <c r="F122">
        <v>0.94070220299999996</v>
      </c>
      <c r="G122">
        <v>1</v>
      </c>
      <c r="H122">
        <v>4</v>
      </c>
      <c r="I122">
        <v>13</v>
      </c>
      <c r="J122">
        <v>14</v>
      </c>
      <c r="K122">
        <v>6</v>
      </c>
      <c r="L122">
        <v>3</v>
      </c>
      <c r="M122">
        <v>0</v>
      </c>
      <c r="O122">
        <v>0</v>
      </c>
    </row>
    <row r="123" spans="1:15" x14ac:dyDescent="0.35">
      <c r="A123" t="s">
        <v>359</v>
      </c>
      <c r="B123" t="s">
        <v>360</v>
      </c>
      <c r="C123">
        <v>36</v>
      </c>
      <c r="D123">
        <v>0</v>
      </c>
      <c r="E123">
        <v>1.888888889</v>
      </c>
      <c r="F123">
        <v>0.85449325899999995</v>
      </c>
      <c r="G123">
        <v>1</v>
      </c>
      <c r="H123">
        <v>4</v>
      </c>
      <c r="I123">
        <v>13</v>
      </c>
      <c r="J123">
        <v>16</v>
      </c>
      <c r="K123">
        <v>5</v>
      </c>
      <c r="L123">
        <v>2</v>
      </c>
      <c r="M123">
        <v>0</v>
      </c>
      <c r="O123">
        <v>0</v>
      </c>
    </row>
    <row r="124" spans="1:15" x14ac:dyDescent="0.35">
      <c r="A124" t="s">
        <v>121</v>
      </c>
      <c r="B124" t="s">
        <v>122</v>
      </c>
      <c r="C124">
        <v>36</v>
      </c>
      <c r="D124">
        <v>0</v>
      </c>
      <c r="E124">
        <v>2.611111111</v>
      </c>
      <c r="F124">
        <v>1.049565292</v>
      </c>
      <c r="G124">
        <v>1</v>
      </c>
      <c r="H124">
        <v>5</v>
      </c>
      <c r="I124">
        <v>5</v>
      </c>
      <c r="J124">
        <v>13</v>
      </c>
      <c r="K124">
        <v>10</v>
      </c>
      <c r="L124">
        <v>7</v>
      </c>
      <c r="M124">
        <v>1</v>
      </c>
      <c r="O124">
        <v>0</v>
      </c>
    </row>
    <row r="125" spans="1:15" x14ac:dyDescent="0.35">
      <c r="A125" t="s">
        <v>327</v>
      </c>
      <c r="B125" t="s">
        <v>328</v>
      </c>
      <c r="C125">
        <v>36</v>
      </c>
      <c r="D125">
        <v>0</v>
      </c>
      <c r="E125">
        <v>1.9166666670000001</v>
      </c>
      <c r="F125">
        <v>0.93732141199999996</v>
      </c>
      <c r="G125">
        <v>1</v>
      </c>
      <c r="H125">
        <v>5</v>
      </c>
      <c r="I125">
        <v>13</v>
      </c>
      <c r="J125">
        <v>16</v>
      </c>
      <c r="K125">
        <v>5</v>
      </c>
      <c r="L125">
        <v>1</v>
      </c>
      <c r="M125">
        <v>1</v>
      </c>
      <c r="O125">
        <v>0</v>
      </c>
    </row>
    <row r="126" spans="1:15" x14ac:dyDescent="0.35">
      <c r="A126" t="s">
        <v>257</v>
      </c>
      <c r="B126" t="s">
        <v>258</v>
      </c>
      <c r="C126">
        <v>36</v>
      </c>
      <c r="D126">
        <v>0</v>
      </c>
      <c r="E126">
        <v>2.4722222220000001</v>
      </c>
      <c r="F126">
        <v>0.94070220299999996</v>
      </c>
      <c r="G126">
        <v>1</v>
      </c>
      <c r="H126">
        <v>4</v>
      </c>
      <c r="I126">
        <v>4</v>
      </c>
      <c r="J126">
        <v>18</v>
      </c>
      <c r="K126">
        <v>7</v>
      </c>
      <c r="L126">
        <v>7</v>
      </c>
      <c r="M126">
        <v>0</v>
      </c>
      <c r="O126">
        <v>0</v>
      </c>
    </row>
    <row r="127" spans="1:15" x14ac:dyDescent="0.35">
      <c r="A127" t="s">
        <v>259</v>
      </c>
      <c r="B127" t="s">
        <v>260</v>
      </c>
      <c r="C127">
        <v>36</v>
      </c>
      <c r="D127">
        <v>0</v>
      </c>
      <c r="E127">
        <v>1.888888889</v>
      </c>
      <c r="F127">
        <v>0.85449325899999995</v>
      </c>
      <c r="G127">
        <v>1</v>
      </c>
      <c r="H127">
        <v>5</v>
      </c>
      <c r="I127">
        <v>11</v>
      </c>
      <c r="J127">
        <v>21</v>
      </c>
      <c r="K127">
        <v>2</v>
      </c>
      <c r="L127">
        <v>1</v>
      </c>
      <c r="M127">
        <v>1</v>
      </c>
      <c r="O127">
        <v>0</v>
      </c>
    </row>
    <row r="128" spans="1:15" x14ac:dyDescent="0.35">
      <c r="A128" t="s">
        <v>261</v>
      </c>
      <c r="B128" t="s">
        <v>262</v>
      </c>
      <c r="C128">
        <v>36</v>
      </c>
      <c r="D128">
        <v>0</v>
      </c>
      <c r="E128">
        <v>2.3055555559999998</v>
      </c>
      <c r="F128">
        <v>1.0907256940000001</v>
      </c>
      <c r="G128">
        <v>1</v>
      </c>
      <c r="H128">
        <v>4</v>
      </c>
      <c r="I128">
        <v>10</v>
      </c>
      <c r="J128">
        <v>12</v>
      </c>
      <c r="K128">
        <v>7</v>
      </c>
      <c r="L128">
        <v>7</v>
      </c>
      <c r="M128">
        <v>0</v>
      </c>
      <c r="O128">
        <v>0</v>
      </c>
    </row>
    <row r="129" spans="1:15" x14ac:dyDescent="0.35">
      <c r="A129" t="s">
        <v>335</v>
      </c>
      <c r="B129" t="s">
        <v>336</v>
      </c>
      <c r="C129">
        <v>36</v>
      </c>
      <c r="D129">
        <v>0</v>
      </c>
      <c r="E129">
        <v>1.8055555560000001</v>
      </c>
      <c r="F129">
        <v>0.70990721499999998</v>
      </c>
      <c r="G129">
        <v>1</v>
      </c>
      <c r="H129">
        <v>3</v>
      </c>
      <c r="I129">
        <v>13</v>
      </c>
      <c r="J129">
        <v>17</v>
      </c>
      <c r="K129">
        <v>6</v>
      </c>
      <c r="L129">
        <v>0</v>
      </c>
      <c r="M129">
        <v>0</v>
      </c>
      <c r="O129">
        <v>0</v>
      </c>
    </row>
    <row r="130" spans="1:15" x14ac:dyDescent="0.35">
      <c r="A130" t="s">
        <v>193</v>
      </c>
      <c r="B130" t="s">
        <v>194</v>
      </c>
      <c r="C130">
        <v>36</v>
      </c>
      <c r="D130">
        <v>0</v>
      </c>
      <c r="E130">
        <v>2.2777777779999999</v>
      </c>
      <c r="F130">
        <v>1.0312575159999999</v>
      </c>
      <c r="G130">
        <v>1</v>
      </c>
      <c r="H130">
        <v>4</v>
      </c>
      <c r="I130">
        <v>9</v>
      </c>
      <c r="J130">
        <v>14</v>
      </c>
      <c r="K130">
        <v>7</v>
      </c>
      <c r="L130">
        <v>6</v>
      </c>
      <c r="M130">
        <v>0</v>
      </c>
      <c r="O130">
        <v>0</v>
      </c>
    </row>
    <row r="131" spans="1:15" x14ac:dyDescent="0.35">
      <c r="A131" t="s">
        <v>123</v>
      </c>
      <c r="B131" t="s">
        <v>124</v>
      </c>
      <c r="C131">
        <v>36</v>
      </c>
      <c r="D131">
        <v>0</v>
      </c>
      <c r="E131">
        <v>3.5555555559999998</v>
      </c>
      <c r="F131">
        <v>1.229272594</v>
      </c>
      <c r="G131">
        <v>1</v>
      </c>
      <c r="H131">
        <v>5</v>
      </c>
      <c r="I131">
        <v>1</v>
      </c>
      <c r="J131">
        <v>10</v>
      </c>
      <c r="K131">
        <v>2</v>
      </c>
      <c r="L131">
        <v>14</v>
      </c>
      <c r="M131">
        <v>9</v>
      </c>
      <c r="O131">
        <v>0</v>
      </c>
    </row>
    <row r="132" spans="1:15" x14ac:dyDescent="0.35">
      <c r="A132" t="s">
        <v>269</v>
      </c>
      <c r="B132" t="s">
        <v>270</v>
      </c>
      <c r="C132">
        <v>36</v>
      </c>
      <c r="D132">
        <v>0</v>
      </c>
      <c r="E132">
        <v>1.8056000000000001</v>
      </c>
      <c r="F132">
        <v>0.82182530099999995</v>
      </c>
      <c r="G132">
        <v>1</v>
      </c>
      <c r="H132">
        <v>4</v>
      </c>
      <c r="I132">
        <v>14</v>
      </c>
      <c r="J132">
        <v>17</v>
      </c>
      <c r="K132">
        <v>3</v>
      </c>
      <c r="L132">
        <v>2</v>
      </c>
      <c r="M132">
        <v>0</v>
      </c>
      <c r="O132">
        <v>0</v>
      </c>
    </row>
    <row r="133" spans="1:15" x14ac:dyDescent="0.35">
      <c r="A133" t="s">
        <v>271</v>
      </c>
      <c r="B133" t="s">
        <v>272</v>
      </c>
      <c r="C133">
        <v>36</v>
      </c>
      <c r="D133">
        <v>0</v>
      </c>
      <c r="E133">
        <v>3.0833333330000001</v>
      </c>
      <c r="F133">
        <v>1.250714082</v>
      </c>
      <c r="G133">
        <v>1</v>
      </c>
      <c r="H133">
        <v>5</v>
      </c>
      <c r="I133">
        <v>4</v>
      </c>
      <c r="J133">
        <v>9</v>
      </c>
      <c r="K133">
        <v>8</v>
      </c>
      <c r="L133">
        <v>10</v>
      </c>
      <c r="M133">
        <v>5</v>
      </c>
      <c r="O133">
        <v>0</v>
      </c>
    </row>
    <row r="134" spans="1:15" x14ac:dyDescent="0.35">
      <c r="A134" t="s">
        <v>129</v>
      </c>
      <c r="B134" t="s">
        <v>130</v>
      </c>
      <c r="C134">
        <v>36</v>
      </c>
      <c r="D134">
        <v>0</v>
      </c>
      <c r="E134">
        <v>2.638888889</v>
      </c>
      <c r="F134">
        <v>0.89929425600000001</v>
      </c>
      <c r="G134">
        <v>1</v>
      </c>
      <c r="H134">
        <v>5</v>
      </c>
      <c r="I134">
        <v>2</v>
      </c>
      <c r="J134">
        <v>16</v>
      </c>
      <c r="K134">
        <v>12</v>
      </c>
      <c r="L134">
        <v>5</v>
      </c>
      <c r="M134">
        <v>1</v>
      </c>
      <c r="O134">
        <v>0</v>
      </c>
    </row>
    <row r="135" spans="1:15" x14ac:dyDescent="0.35">
      <c r="A135" t="s">
        <v>131</v>
      </c>
      <c r="B135" t="s">
        <v>132</v>
      </c>
      <c r="C135">
        <v>36</v>
      </c>
      <c r="D135">
        <v>0</v>
      </c>
      <c r="E135">
        <v>2.3333333330000001</v>
      </c>
      <c r="F135">
        <v>0.92582010000000003</v>
      </c>
      <c r="G135">
        <v>1</v>
      </c>
      <c r="H135">
        <v>5</v>
      </c>
      <c r="I135">
        <v>5</v>
      </c>
      <c r="J135">
        <v>19</v>
      </c>
      <c r="K135">
        <v>8</v>
      </c>
      <c r="L135">
        <v>3</v>
      </c>
      <c r="M135">
        <v>1</v>
      </c>
      <c r="O135">
        <v>0</v>
      </c>
    </row>
    <row r="136" spans="1:15" x14ac:dyDescent="0.35">
      <c r="A136" t="s">
        <v>361</v>
      </c>
      <c r="B136" t="s">
        <v>362</v>
      </c>
      <c r="C136">
        <v>36</v>
      </c>
      <c r="D136">
        <v>0</v>
      </c>
      <c r="E136">
        <v>1.9722222220000001</v>
      </c>
      <c r="F136">
        <v>1.081958835</v>
      </c>
      <c r="G136">
        <v>1</v>
      </c>
      <c r="H136">
        <v>5</v>
      </c>
      <c r="I136">
        <v>15</v>
      </c>
      <c r="J136">
        <v>12</v>
      </c>
      <c r="K136">
        <v>5</v>
      </c>
      <c r="L136">
        <v>3</v>
      </c>
      <c r="M136">
        <v>1</v>
      </c>
      <c r="O136">
        <v>0</v>
      </c>
    </row>
    <row r="137" spans="1:15" x14ac:dyDescent="0.35">
      <c r="A137" t="s">
        <v>183</v>
      </c>
      <c r="B137" t="s">
        <v>184</v>
      </c>
      <c r="C137">
        <v>36</v>
      </c>
      <c r="D137">
        <v>0</v>
      </c>
      <c r="E137">
        <v>1.9722222220000001</v>
      </c>
      <c r="F137">
        <v>0.84468459399999996</v>
      </c>
      <c r="G137">
        <v>1</v>
      </c>
      <c r="H137">
        <v>4</v>
      </c>
      <c r="I137">
        <v>11</v>
      </c>
      <c r="J137">
        <v>17</v>
      </c>
      <c r="K137">
        <v>6</v>
      </c>
      <c r="L137">
        <v>2</v>
      </c>
      <c r="M137">
        <v>0</v>
      </c>
      <c r="O137">
        <v>0</v>
      </c>
    </row>
    <row r="138" spans="1:15" x14ac:dyDescent="0.35">
      <c r="A138" t="s">
        <v>281</v>
      </c>
      <c r="B138" t="s">
        <v>282</v>
      </c>
      <c r="C138">
        <v>36</v>
      </c>
      <c r="D138">
        <v>0</v>
      </c>
      <c r="E138">
        <v>1.9722222220000001</v>
      </c>
      <c r="F138">
        <v>0.970599553</v>
      </c>
      <c r="G138">
        <v>1</v>
      </c>
      <c r="H138">
        <v>5</v>
      </c>
      <c r="I138">
        <v>12</v>
      </c>
      <c r="J138">
        <v>17</v>
      </c>
      <c r="K138">
        <v>4</v>
      </c>
      <c r="L138">
        <v>2</v>
      </c>
      <c r="M138">
        <v>1</v>
      </c>
      <c r="O138">
        <v>0</v>
      </c>
    </row>
    <row r="139" spans="1:15" x14ac:dyDescent="0.35">
      <c r="A139" t="s">
        <v>283</v>
      </c>
      <c r="B139" t="s">
        <v>284</v>
      </c>
      <c r="C139">
        <v>36</v>
      </c>
      <c r="D139">
        <v>0</v>
      </c>
      <c r="E139">
        <v>2.1666666669999999</v>
      </c>
      <c r="F139">
        <v>1.028174527</v>
      </c>
      <c r="G139">
        <v>1</v>
      </c>
      <c r="H139">
        <v>5</v>
      </c>
      <c r="I139">
        <v>10</v>
      </c>
      <c r="J139">
        <v>15</v>
      </c>
      <c r="K139">
        <v>7</v>
      </c>
      <c r="L139">
        <v>3</v>
      </c>
      <c r="M139">
        <v>1</v>
      </c>
      <c r="O139">
        <v>0</v>
      </c>
    </row>
    <row r="140" spans="1:15" x14ac:dyDescent="0.35">
      <c r="A140" t="s">
        <v>285</v>
      </c>
      <c r="B140" t="s">
        <v>286</v>
      </c>
      <c r="C140">
        <v>36</v>
      </c>
      <c r="D140">
        <v>0</v>
      </c>
      <c r="E140">
        <v>2.3333333330000001</v>
      </c>
      <c r="F140">
        <v>1.069044968</v>
      </c>
      <c r="G140">
        <v>1</v>
      </c>
      <c r="H140">
        <v>5</v>
      </c>
      <c r="I140">
        <v>9</v>
      </c>
      <c r="J140">
        <v>12</v>
      </c>
      <c r="K140">
        <v>10</v>
      </c>
      <c r="L140">
        <v>4</v>
      </c>
      <c r="M140">
        <v>1</v>
      </c>
      <c r="O140">
        <v>0</v>
      </c>
    </row>
    <row r="141" spans="1:15" x14ac:dyDescent="0.35">
      <c r="A141" t="s">
        <v>191</v>
      </c>
      <c r="B141" t="s">
        <v>192</v>
      </c>
      <c r="C141">
        <v>36</v>
      </c>
      <c r="D141">
        <v>0</v>
      </c>
      <c r="E141">
        <v>2.1666666669999999</v>
      </c>
      <c r="F141">
        <v>0.97100831200000004</v>
      </c>
      <c r="G141">
        <v>1</v>
      </c>
      <c r="H141">
        <v>4</v>
      </c>
      <c r="I141">
        <v>10</v>
      </c>
      <c r="J141">
        <v>14</v>
      </c>
      <c r="K141">
        <v>8</v>
      </c>
      <c r="L141">
        <v>4</v>
      </c>
      <c r="M141">
        <v>0</v>
      </c>
      <c r="O141">
        <v>0</v>
      </c>
    </row>
    <row r="142" spans="1:15" x14ac:dyDescent="0.35">
      <c r="A142" t="s">
        <v>133</v>
      </c>
      <c r="B142" t="s">
        <v>134</v>
      </c>
      <c r="C142">
        <v>36</v>
      </c>
      <c r="D142">
        <v>0</v>
      </c>
      <c r="E142">
        <v>3.138888889</v>
      </c>
      <c r="F142">
        <v>1.3126369920000001</v>
      </c>
      <c r="G142">
        <v>1</v>
      </c>
      <c r="H142">
        <v>5</v>
      </c>
      <c r="I142">
        <v>5</v>
      </c>
      <c r="J142">
        <v>7</v>
      </c>
      <c r="K142">
        <v>8</v>
      </c>
      <c r="L142">
        <v>10</v>
      </c>
      <c r="M142">
        <v>6</v>
      </c>
      <c r="O142">
        <v>0</v>
      </c>
    </row>
    <row r="143" spans="1:15" x14ac:dyDescent="0.35">
      <c r="A143" t="s">
        <v>339</v>
      </c>
      <c r="B143" t="s">
        <v>340</v>
      </c>
      <c r="C143">
        <v>36</v>
      </c>
      <c r="D143">
        <v>0</v>
      </c>
      <c r="E143">
        <v>2</v>
      </c>
      <c r="F143">
        <v>0.82807867099999999</v>
      </c>
      <c r="G143">
        <v>1</v>
      </c>
      <c r="H143">
        <v>4</v>
      </c>
      <c r="I143">
        <v>10</v>
      </c>
      <c r="J143">
        <v>18</v>
      </c>
      <c r="K143">
        <v>6</v>
      </c>
      <c r="L143">
        <v>2</v>
      </c>
      <c r="M143">
        <v>0</v>
      </c>
      <c r="O143">
        <v>0</v>
      </c>
    </row>
    <row r="144" spans="1:15" x14ac:dyDescent="0.35">
      <c r="A144" t="s">
        <v>293</v>
      </c>
      <c r="B144" t="s">
        <v>294</v>
      </c>
      <c r="C144">
        <v>36</v>
      </c>
      <c r="D144">
        <v>0</v>
      </c>
      <c r="E144">
        <v>2.0278</v>
      </c>
      <c r="F144">
        <v>0.90982293800000003</v>
      </c>
      <c r="G144">
        <v>1</v>
      </c>
      <c r="H144">
        <v>4</v>
      </c>
      <c r="I144">
        <v>11</v>
      </c>
      <c r="J144">
        <v>16</v>
      </c>
      <c r="K144">
        <v>6</v>
      </c>
      <c r="L144">
        <v>3</v>
      </c>
      <c r="M144">
        <v>0</v>
      </c>
      <c r="O144">
        <v>0</v>
      </c>
    </row>
    <row r="145" spans="1:15" x14ac:dyDescent="0.35">
      <c r="A145" t="s">
        <v>295</v>
      </c>
      <c r="B145" t="s">
        <v>296</v>
      </c>
      <c r="C145">
        <v>36</v>
      </c>
      <c r="D145">
        <v>0</v>
      </c>
      <c r="E145">
        <v>1.9166666670000001</v>
      </c>
      <c r="F145">
        <v>0.80622577500000003</v>
      </c>
      <c r="G145">
        <v>1</v>
      </c>
      <c r="H145">
        <v>4</v>
      </c>
      <c r="I145">
        <v>11</v>
      </c>
      <c r="J145">
        <v>19</v>
      </c>
      <c r="K145">
        <v>4</v>
      </c>
      <c r="L145">
        <v>2</v>
      </c>
      <c r="M145">
        <v>0</v>
      </c>
      <c r="O145">
        <v>0</v>
      </c>
    </row>
    <row r="146" spans="1:15" x14ac:dyDescent="0.35">
      <c r="A146" t="s">
        <v>345</v>
      </c>
      <c r="B146" t="s">
        <v>346</v>
      </c>
      <c r="C146">
        <v>36</v>
      </c>
      <c r="D146">
        <v>0</v>
      </c>
      <c r="E146">
        <v>2.2777777779999999</v>
      </c>
      <c r="F146">
        <v>0.91373991600000004</v>
      </c>
      <c r="G146">
        <v>1</v>
      </c>
      <c r="H146">
        <v>4</v>
      </c>
      <c r="I146">
        <v>7</v>
      </c>
      <c r="J146">
        <v>16</v>
      </c>
      <c r="K146">
        <v>9</v>
      </c>
      <c r="L146">
        <v>4</v>
      </c>
      <c r="M146">
        <v>0</v>
      </c>
      <c r="O146">
        <v>0</v>
      </c>
    </row>
    <row r="147" spans="1:15" x14ac:dyDescent="0.35">
      <c r="A147" t="s">
        <v>347</v>
      </c>
      <c r="B147" t="s">
        <v>348</v>
      </c>
      <c r="C147">
        <v>36</v>
      </c>
      <c r="D147">
        <v>0</v>
      </c>
      <c r="E147">
        <v>2.388888889</v>
      </c>
      <c r="F147">
        <v>0.87105118000000004</v>
      </c>
      <c r="G147">
        <v>1</v>
      </c>
      <c r="H147">
        <v>4</v>
      </c>
      <c r="I147">
        <v>4</v>
      </c>
      <c r="J147">
        <v>19</v>
      </c>
      <c r="K147">
        <v>8</v>
      </c>
      <c r="L147">
        <v>5</v>
      </c>
      <c r="M147">
        <v>0</v>
      </c>
      <c r="O147">
        <v>0</v>
      </c>
    </row>
    <row r="148" spans="1:15" x14ac:dyDescent="0.35">
      <c r="A148" t="s">
        <v>349</v>
      </c>
      <c r="B148" t="s">
        <v>350</v>
      </c>
      <c r="C148">
        <v>36</v>
      </c>
      <c r="D148">
        <v>0</v>
      </c>
      <c r="E148">
        <v>2.1666666669999999</v>
      </c>
      <c r="F148">
        <v>0.84515425499999997</v>
      </c>
      <c r="G148">
        <v>1</v>
      </c>
      <c r="H148">
        <v>4</v>
      </c>
      <c r="I148">
        <v>7</v>
      </c>
      <c r="J148">
        <v>19</v>
      </c>
      <c r="K148">
        <v>7</v>
      </c>
      <c r="L148">
        <v>3</v>
      </c>
      <c r="M148">
        <v>0</v>
      </c>
      <c r="O148">
        <v>0</v>
      </c>
    </row>
    <row r="149" spans="1:15" x14ac:dyDescent="0.35">
      <c r="A149" t="s">
        <v>303</v>
      </c>
      <c r="B149" t="s">
        <v>304</v>
      </c>
      <c r="C149">
        <v>36</v>
      </c>
      <c r="D149">
        <v>0</v>
      </c>
      <c r="E149">
        <v>1.888888889</v>
      </c>
      <c r="F149">
        <v>0.78477577399999998</v>
      </c>
      <c r="G149">
        <v>1</v>
      </c>
      <c r="H149">
        <v>4</v>
      </c>
      <c r="I149">
        <v>11</v>
      </c>
      <c r="J149">
        <v>20</v>
      </c>
      <c r="K149">
        <v>3</v>
      </c>
      <c r="L149">
        <v>2</v>
      </c>
      <c r="M149">
        <v>0</v>
      </c>
      <c r="O149">
        <v>0</v>
      </c>
    </row>
    <row r="150" spans="1:15" x14ac:dyDescent="0.35">
      <c r="A150" t="s">
        <v>305</v>
      </c>
      <c r="B150" t="s">
        <v>306</v>
      </c>
      <c r="C150">
        <v>36</v>
      </c>
      <c r="D150">
        <v>0</v>
      </c>
      <c r="E150">
        <v>2.3889</v>
      </c>
      <c r="F150">
        <v>0.96444737000000003</v>
      </c>
      <c r="G150">
        <v>1</v>
      </c>
      <c r="H150">
        <v>4</v>
      </c>
      <c r="I150">
        <v>6</v>
      </c>
      <c r="J150">
        <v>16</v>
      </c>
      <c r="K150">
        <v>8</v>
      </c>
      <c r="L150">
        <v>6</v>
      </c>
      <c r="M150">
        <v>0</v>
      </c>
      <c r="O150">
        <v>0</v>
      </c>
    </row>
    <row r="151" spans="1:15" x14ac:dyDescent="0.35">
      <c r="A151" t="s">
        <v>307</v>
      </c>
      <c r="B151" t="s">
        <v>308</v>
      </c>
      <c r="C151">
        <v>36</v>
      </c>
      <c r="D151">
        <v>0</v>
      </c>
      <c r="E151">
        <v>2.138888889</v>
      </c>
      <c r="F151">
        <v>0.68254891100000004</v>
      </c>
      <c r="G151">
        <v>1</v>
      </c>
      <c r="H151">
        <v>4</v>
      </c>
      <c r="I151">
        <v>5</v>
      </c>
      <c r="J151">
        <v>22</v>
      </c>
      <c r="K151">
        <v>8</v>
      </c>
      <c r="L151">
        <v>1</v>
      </c>
      <c r="M151">
        <v>0</v>
      </c>
      <c r="O151">
        <v>0</v>
      </c>
    </row>
    <row r="152" spans="1:15" x14ac:dyDescent="0.35">
      <c r="A152" t="s">
        <v>309</v>
      </c>
      <c r="B152" t="s">
        <v>310</v>
      </c>
      <c r="C152">
        <v>36</v>
      </c>
      <c r="D152">
        <v>0</v>
      </c>
      <c r="E152">
        <v>2.5833333330000001</v>
      </c>
      <c r="F152">
        <v>0.99642217099999997</v>
      </c>
      <c r="G152">
        <v>1</v>
      </c>
      <c r="H152">
        <v>5</v>
      </c>
      <c r="I152">
        <v>4</v>
      </c>
      <c r="J152">
        <v>15</v>
      </c>
      <c r="K152">
        <v>10</v>
      </c>
      <c r="L152">
        <v>6</v>
      </c>
      <c r="M152">
        <v>1</v>
      </c>
      <c r="O152">
        <v>0</v>
      </c>
    </row>
    <row r="153" spans="1:15" x14ac:dyDescent="0.35">
      <c r="A153" t="s">
        <v>311</v>
      </c>
      <c r="B153" t="s">
        <v>312</v>
      </c>
      <c r="C153">
        <v>36</v>
      </c>
      <c r="D153">
        <v>0</v>
      </c>
      <c r="E153">
        <v>2.5</v>
      </c>
      <c r="F153">
        <v>0.97100831200000004</v>
      </c>
      <c r="G153">
        <v>1</v>
      </c>
      <c r="H153">
        <v>4</v>
      </c>
      <c r="I153">
        <v>5</v>
      </c>
      <c r="J153">
        <v>15</v>
      </c>
      <c r="K153">
        <v>9</v>
      </c>
      <c r="L153">
        <v>7</v>
      </c>
      <c r="M153">
        <v>0</v>
      </c>
      <c r="O153">
        <v>0</v>
      </c>
    </row>
    <row r="154" spans="1:15" x14ac:dyDescent="0.35">
      <c r="A154" t="s">
        <v>313</v>
      </c>
      <c r="B154" t="s">
        <v>314</v>
      </c>
      <c r="C154">
        <v>36</v>
      </c>
      <c r="D154">
        <v>0</v>
      </c>
      <c r="E154">
        <v>2.5833333330000001</v>
      </c>
      <c r="F154">
        <v>0.80622577500000003</v>
      </c>
      <c r="G154">
        <v>1</v>
      </c>
      <c r="H154">
        <v>4</v>
      </c>
      <c r="I154">
        <v>4</v>
      </c>
      <c r="J154">
        <v>10</v>
      </c>
      <c r="K154">
        <v>19</v>
      </c>
      <c r="L154">
        <v>3</v>
      </c>
      <c r="M154">
        <v>0</v>
      </c>
      <c r="O154">
        <v>0</v>
      </c>
    </row>
    <row r="155" spans="1:15" x14ac:dyDescent="0.35">
      <c r="A155" t="s">
        <v>171</v>
      </c>
      <c r="B155" t="s">
        <v>172</v>
      </c>
      <c r="C155">
        <v>36</v>
      </c>
      <c r="D155">
        <v>0</v>
      </c>
      <c r="E155">
        <v>2.3333333330000001</v>
      </c>
      <c r="F155">
        <v>1.095445115</v>
      </c>
      <c r="G155">
        <v>1</v>
      </c>
      <c r="H155">
        <v>5</v>
      </c>
      <c r="I155">
        <v>8</v>
      </c>
      <c r="J155">
        <v>16</v>
      </c>
      <c r="K155">
        <v>5</v>
      </c>
      <c r="L155">
        <v>6</v>
      </c>
      <c r="M155">
        <v>1</v>
      </c>
      <c r="O155">
        <v>0</v>
      </c>
    </row>
    <row r="156" spans="1:15" x14ac:dyDescent="0.35">
      <c r="A156" t="s">
        <v>317</v>
      </c>
      <c r="B156" t="s">
        <v>318</v>
      </c>
      <c r="C156">
        <v>36</v>
      </c>
      <c r="D156">
        <v>0</v>
      </c>
      <c r="E156">
        <v>1.888888889</v>
      </c>
      <c r="F156">
        <v>0.85449325899999995</v>
      </c>
      <c r="G156">
        <v>1</v>
      </c>
      <c r="H156">
        <v>4</v>
      </c>
      <c r="I156">
        <v>12</v>
      </c>
      <c r="J156">
        <v>19</v>
      </c>
      <c r="K156">
        <v>2</v>
      </c>
      <c r="L156">
        <v>3</v>
      </c>
      <c r="M156">
        <v>0</v>
      </c>
      <c r="O156">
        <v>0</v>
      </c>
    </row>
    <row r="157" spans="1:15" x14ac:dyDescent="0.35">
      <c r="A157" t="s">
        <v>319</v>
      </c>
      <c r="B157" t="s">
        <v>320</v>
      </c>
      <c r="C157">
        <v>36</v>
      </c>
      <c r="D157">
        <v>0</v>
      </c>
      <c r="E157">
        <v>1.8055555560000001</v>
      </c>
      <c r="F157">
        <v>0.78629127399999998</v>
      </c>
      <c r="G157">
        <v>1</v>
      </c>
      <c r="H157">
        <v>4</v>
      </c>
      <c r="I157">
        <v>13</v>
      </c>
      <c r="J157">
        <v>19</v>
      </c>
      <c r="K157">
        <v>2</v>
      </c>
      <c r="L157">
        <v>2</v>
      </c>
      <c r="M157">
        <v>0</v>
      </c>
      <c r="O157">
        <v>0</v>
      </c>
    </row>
    <row r="158" spans="1:15" x14ac:dyDescent="0.35">
      <c r="A158" t="s">
        <v>177</v>
      </c>
      <c r="B158" t="s">
        <v>178</v>
      </c>
      <c r="C158">
        <v>36</v>
      </c>
      <c r="D158">
        <v>0</v>
      </c>
      <c r="E158">
        <v>1.9722222220000001</v>
      </c>
      <c r="F158">
        <v>0.84468459399999996</v>
      </c>
      <c r="G158">
        <v>1</v>
      </c>
      <c r="H158">
        <v>4</v>
      </c>
      <c r="I158">
        <v>10</v>
      </c>
      <c r="J158">
        <v>20</v>
      </c>
      <c r="K158">
        <v>3</v>
      </c>
      <c r="L158">
        <v>3</v>
      </c>
      <c r="M158">
        <v>0</v>
      </c>
      <c r="O158">
        <v>0</v>
      </c>
    </row>
    <row r="159" spans="1:15" x14ac:dyDescent="0.35">
      <c r="A159" t="s">
        <v>179</v>
      </c>
      <c r="B159" t="s">
        <v>180</v>
      </c>
      <c r="C159">
        <v>36</v>
      </c>
      <c r="D159">
        <v>0</v>
      </c>
      <c r="E159">
        <v>1.9166666670000001</v>
      </c>
      <c r="F159">
        <v>0.73192505500000005</v>
      </c>
      <c r="G159">
        <v>1</v>
      </c>
      <c r="H159">
        <v>4</v>
      </c>
      <c r="I159">
        <v>10</v>
      </c>
      <c r="J159">
        <v>20</v>
      </c>
      <c r="K159">
        <v>5</v>
      </c>
      <c r="L159">
        <v>1</v>
      </c>
      <c r="M159">
        <v>0</v>
      </c>
      <c r="O159">
        <v>0</v>
      </c>
    </row>
    <row r="160" spans="1:15" x14ac:dyDescent="0.35">
      <c r="A160" t="s">
        <v>181</v>
      </c>
      <c r="B160" t="s">
        <v>182</v>
      </c>
      <c r="C160">
        <v>36</v>
      </c>
      <c r="D160">
        <v>0</v>
      </c>
      <c r="E160">
        <v>2.0833333330000001</v>
      </c>
      <c r="F160">
        <v>1.0522085619999999</v>
      </c>
      <c r="G160">
        <v>1</v>
      </c>
      <c r="H160">
        <v>5</v>
      </c>
      <c r="I160">
        <v>12</v>
      </c>
      <c r="J160">
        <v>14</v>
      </c>
      <c r="K160">
        <v>6</v>
      </c>
      <c r="L160">
        <v>3</v>
      </c>
      <c r="M160">
        <v>1</v>
      </c>
      <c r="O160">
        <v>0</v>
      </c>
    </row>
    <row r="161" spans="1:15" x14ac:dyDescent="0.35">
      <c r="A161" t="s">
        <v>207</v>
      </c>
      <c r="B161" t="s">
        <v>208</v>
      </c>
      <c r="C161">
        <v>36</v>
      </c>
      <c r="D161">
        <v>0</v>
      </c>
      <c r="E161">
        <v>1.888888889</v>
      </c>
      <c r="F161">
        <v>0.82037544600000001</v>
      </c>
      <c r="G161">
        <v>1</v>
      </c>
      <c r="H161">
        <v>4</v>
      </c>
      <c r="I161">
        <v>12</v>
      </c>
      <c r="J161">
        <v>18</v>
      </c>
      <c r="K161">
        <v>4</v>
      </c>
      <c r="L161">
        <v>2</v>
      </c>
      <c r="M161">
        <v>0</v>
      </c>
      <c r="O161">
        <v>0</v>
      </c>
    </row>
    <row r="162" spans="1:15" x14ac:dyDescent="0.35">
      <c r="A162" t="s">
        <v>329</v>
      </c>
      <c r="B162" t="s">
        <v>330</v>
      </c>
      <c r="C162">
        <v>36</v>
      </c>
      <c r="D162">
        <v>0</v>
      </c>
      <c r="E162">
        <v>1.9444444439999999</v>
      </c>
      <c r="F162">
        <v>0.98399896799999997</v>
      </c>
      <c r="G162">
        <v>1</v>
      </c>
      <c r="H162">
        <v>4</v>
      </c>
      <c r="I162">
        <v>14</v>
      </c>
      <c r="J162">
        <v>14</v>
      </c>
      <c r="K162">
        <v>4</v>
      </c>
      <c r="L162">
        <v>4</v>
      </c>
      <c r="M162">
        <v>0</v>
      </c>
      <c r="O162">
        <v>0</v>
      </c>
    </row>
    <row r="163" spans="1:15" x14ac:dyDescent="0.35">
      <c r="A163" t="s">
        <v>331</v>
      </c>
      <c r="B163" t="s">
        <v>332</v>
      </c>
      <c r="C163">
        <v>36</v>
      </c>
      <c r="D163">
        <v>0</v>
      </c>
      <c r="E163">
        <v>1.75</v>
      </c>
      <c r="F163">
        <v>0.64917530099999998</v>
      </c>
      <c r="G163">
        <v>1</v>
      </c>
      <c r="H163">
        <v>3</v>
      </c>
      <c r="I163">
        <v>13</v>
      </c>
      <c r="J163">
        <v>19</v>
      </c>
      <c r="K163">
        <v>4</v>
      </c>
      <c r="L163">
        <v>0</v>
      </c>
      <c r="M163">
        <v>0</v>
      </c>
      <c r="O163">
        <v>0</v>
      </c>
    </row>
    <row r="164" spans="1:15" x14ac:dyDescent="0.35">
      <c r="A164" t="s">
        <v>333</v>
      </c>
      <c r="B164" t="s">
        <v>334</v>
      </c>
      <c r="C164">
        <v>36</v>
      </c>
      <c r="D164">
        <v>0</v>
      </c>
      <c r="E164">
        <v>1.9722222220000001</v>
      </c>
      <c r="F164">
        <v>0.90982293800000003</v>
      </c>
      <c r="G164">
        <v>1</v>
      </c>
      <c r="H164">
        <v>4</v>
      </c>
      <c r="I164">
        <v>12</v>
      </c>
      <c r="J164">
        <v>16</v>
      </c>
      <c r="K164">
        <v>5</v>
      </c>
      <c r="L164">
        <v>3</v>
      </c>
      <c r="M164">
        <v>0</v>
      </c>
      <c r="O164">
        <v>0</v>
      </c>
    </row>
    <row r="165" spans="1:15" x14ac:dyDescent="0.35">
      <c r="A165" t="s">
        <v>215</v>
      </c>
      <c r="B165" t="s">
        <v>216</v>
      </c>
      <c r="C165">
        <v>36</v>
      </c>
      <c r="D165">
        <v>0</v>
      </c>
      <c r="E165">
        <v>1.7222222220000001</v>
      </c>
      <c r="F165">
        <v>0.51331477999999997</v>
      </c>
      <c r="G165">
        <v>1</v>
      </c>
      <c r="H165">
        <v>3</v>
      </c>
      <c r="I165">
        <v>11</v>
      </c>
      <c r="J165">
        <v>24</v>
      </c>
      <c r="K165">
        <v>1</v>
      </c>
      <c r="L165">
        <v>0</v>
      </c>
      <c r="M165">
        <v>0</v>
      </c>
      <c r="O165">
        <v>0</v>
      </c>
    </row>
    <row r="166" spans="1:15" x14ac:dyDescent="0.35">
      <c r="A166" t="s">
        <v>217</v>
      </c>
      <c r="B166" t="s">
        <v>218</v>
      </c>
      <c r="C166">
        <v>36</v>
      </c>
      <c r="D166">
        <v>0</v>
      </c>
      <c r="E166">
        <v>1.9444444439999999</v>
      </c>
      <c r="F166">
        <v>0.98399896799999997</v>
      </c>
      <c r="G166">
        <v>1</v>
      </c>
      <c r="H166">
        <v>5</v>
      </c>
      <c r="I166">
        <v>13</v>
      </c>
      <c r="J166">
        <v>16</v>
      </c>
      <c r="K166">
        <v>4</v>
      </c>
      <c r="L166">
        <v>2</v>
      </c>
      <c r="M166">
        <v>1</v>
      </c>
      <c r="O166">
        <v>0</v>
      </c>
    </row>
    <row r="167" spans="1:15" x14ac:dyDescent="0.35">
      <c r="A167" t="s">
        <v>315</v>
      </c>
      <c r="B167" t="s">
        <v>316</v>
      </c>
      <c r="C167">
        <v>36</v>
      </c>
      <c r="D167">
        <v>0</v>
      </c>
      <c r="E167">
        <v>2.0277777779999999</v>
      </c>
      <c r="F167">
        <v>0.87785814399999995</v>
      </c>
      <c r="G167">
        <v>1</v>
      </c>
      <c r="H167">
        <v>4</v>
      </c>
      <c r="I167">
        <v>10</v>
      </c>
      <c r="J167">
        <v>18</v>
      </c>
      <c r="K167">
        <v>5</v>
      </c>
      <c r="L167">
        <v>3</v>
      </c>
      <c r="M167">
        <v>0</v>
      </c>
      <c r="O167">
        <v>0</v>
      </c>
    </row>
    <row r="168" spans="1:15" x14ac:dyDescent="0.35">
      <c r="A168" t="s">
        <v>341</v>
      </c>
      <c r="B168" t="s">
        <v>342</v>
      </c>
      <c r="C168">
        <v>36</v>
      </c>
      <c r="D168">
        <v>0</v>
      </c>
      <c r="E168">
        <v>2.7778</v>
      </c>
      <c r="F168">
        <v>0.95949722299999995</v>
      </c>
      <c r="G168">
        <v>1</v>
      </c>
      <c r="H168">
        <v>5</v>
      </c>
      <c r="I168">
        <v>2</v>
      </c>
      <c r="J168">
        <v>14</v>
      </c>
      <c r="K168">
        <v>11</v>
      </c>
      <c r="L168">
        <v>8</v>
      </c>
      <c r="M168">
        <v>1</v>
      </c>
      <c r="O168">
        <v>0</v>
      </c>
    </row>
    <row r="169" spans="1:15" x14ac:dyDescent="0.35">
      <c r="A169" t="s">
        <v>343</v>
      </c>
      <c r="B169" t="s">
        <v>344</v>
      </c>
      <c r="C169">
        <v>36</v>
      </c>
      <c r="D169">
        <v>0</v>
      </c>
      <c r="E169">
        <v>1.8333333329999999</v>
      </c>
      <c r="F169">
        <v>0.507092553</v>
      </c>
      <c r="G169">
        <v>1</v>
      </c>
      <c r="H169">
        <v>3</v>
      </c>
      <c r="I169">
        <v>8</v>
      </c>
      <c r="J169">
        <v>26</v>
      </c>
      <c r="K169">
        <v>2</v>
      </c>
      <c r="L169">
        <v>0</v>
      </c>
      <c r="M169">
        <v>0</v>
      </c>
      <c r="O169">
        <v>0</v>
      </c>
    </row>
    <row r="170" spans="1:15" x14ac:dyDescent="0.35">
      <c r="A170" t="s">
        <v>321</v>
      </c>
      <c r="B170" t="s">
        <v>322</v>
      </c>
      <c r="C170">
        <v>36</v>
      </c>
      <c r="D170">
        <v>0</v>
      </c>
      <c r="E170">
        <v>2.0833333330000001</v>
      </c>
      <c r="F170">
        <v>0.96732325799999996</v>
      </c>
      <c r="G170">
        <v>1</v>
      </c>
      <c r="H170">
        <v>4</v>
      </c>
      <c r="I170">
        <v>11</v>
      </c>
      <c r="J170">
        <v>15</v>
      </c>
      <c r="K170">
        <v>6</v>
      </c>
      <c r="L170">
        <v>4</v>
      </c>
      <c r="M170">
        <v>0</v>
      </c>
      <c r="O170">
        <v>0</v>
      </c>
    </row>
    <row r="171" spans="1:15" x14ac:dyDescent="0.35">
      <c r="A171" t="s">
        <v>323</v>
      </c>
      <c r="B171" t="s">
        <v>324</v>
      </c>
      <c r="C171">
        <v>36</v>
      </c>
      <c r="D171">
        <v>0</v>
      </c>
      <c r="E171">
        <v>1.7777777779999999</v>
      </c>
      <c r="F171">
        <v>0.68080251400000003</v>
      </c>
      <c r="G171">
        <v>1</v>
      </c>
      <c r="H171">
        <v>3</v>
      </c>
      <c r="I171">
        <v>13</v>
      </c>
      <c r="J171">
        <v>18</v>
      </c>
      <c r="K171">
        <v>5</v>
      </c>
      <c r="L171">
        <v>0</v>
      </c>
      <c r="M171">
        <v>0</v>
      </c>
      <c r="O171">
        <v>0</v>
      </c>
    </row>
    <row r="172" spans="1:15" x14ac:dyDescent="0.35">
      <c r="A172" t="s">
        <v>325</v>
      </c>
      <c r="B172" t="s">
        <v>326</v>
      </c>
      <c r="C172">
        <v>36</v>
      </c>
      <c r="D172">
        <v>0</v>
      </c>
      <c r="E172">
        <v>1.7777777779999999</v>
      </c>
      <c r="F172">
        <v>0.79681907299999999</v>
      </c>
      <c r="G172">
        <v>1</v>
      </c>
      <c r="H172">
        <v>4</v>
      </c>
      <c r="I172">
        <v>15</v>
      </c>
      <c r="J172">
        <v>15</v>
      </c>
      <c r="K172">
        <v>5</v>
      </c>
      <c r="L172">
        <v>1</v>
      </c>
      <c r="M172">
        <v>0</v>
      </c>
      <c r="O172">
        <v>0</v>
      </c>
    </row>
    <row r="173" spans="1:15" x14ac:dyDescent="0.35">
      <c r="A173" t="s">
        <v>195</v>
      </c>
      <c r="B173" t="s">
        <v>196</v>
      </c>
      <c r="C173">
        <v>36</v>
      </c>
      <c r="D173">
        <v>0</v>
      </c>
      <c r="E173">
        <v>2.111111111</v>
      </c>
      <c r="F173">
        <v>1.0079052610000001</v>
      </c>
      <c r="G173">
        <v>1</v>
      </c>
      <c r="H173">
        <v>5</v>
      </c>
      <c r="I173">
        <v>10</v>
      </c>
      <c r="J173">
        <v>17</v>
      </c>
      <c r="K173">
        <v>5</v>
      </c>
      <c r="L173">
        <v>3</v>
      </c>
      <c r="M173">
        <v>1</v>
      </c>
      <c r="O173">
        <v>0</v>
      </c>
    </row>
    <row r="174" spans="1:15" x14ac:dyDescent="0.35">
      <c r="A174" t="s">
        <v>353</v>
      </c>
      <c r="B174" t="s">
        <v>354</v>
      </c>
      <c r="C174">
        <v>36</v>
      </c>
      <c r="D174">
        <v>0</v>
      </c>
      <c r="E174">
        <v>2.0278</v>
      </c>
      <c r="F174">
        <v>0.94070220299999996</v>
      </c>
      <c r="G174">
        <v>1</v>
      </c>
      <c r="H174">
        <v>4</v>
      </c>
      <c r="I174">
        <v>11</v>
      </c>
      <c r="J174">
        <v>17</v>
      </c>
      <c r="K174">
        <v>4</v>
      </c>
      <c r="L174">
        <v>4</v>
      </c>
      <c r="M174">
        <v>0</v>
      </c>
      <c r="O174">
        <v>0</v>
      </c>
    </row>
    <row r="175" spans="1:15" x14ac:dyDescent="0.35">
      <c r="A175" t="s">
        <v>355</v>
      </c>
      <c r="B175" t="s">
        <v>356</v>
      </c>
      <c r="C175">
        <v>36</v>
      </c>
      <c r="D175">
        <v>0</v>
      </c>
      <c r="E175">
        <v>1.7222222220000001</v>
      </c>
      <c r="F175">
        <v>0.70147237399999995</v>
      </c>
      <c r="G175">
        <v>1</v>
      </c>
      <c r="H175">
        <v>4</v>
      </c>
      <c r="I175">
        <v>14</v>
      </c>
      <c r="J175">
        <v>19</v>
      </c>
      <c r="K175">
        <v>2</v>
      </c>
      <c r="L175">
        <v>1</v>
      </c>
      <c r="M175">
        <v>0</v>
      </c>
      <c r="O175">
        <v>0</v>
      </c>
    </row>
    <row r="176" spans="1:15" x14ac:dyDescent="0.35">
      <c r="A176" t="s">
        <v>201</v>
      </c>
      <c r="B176" t="s">
        <v>202</v>
      </c>
      <c r="C176">
        <v>36</v>
      </c>
      <c r="D176">
        <v>0</v>
      </c>
      <c r="E176">
        <v>2.138888889</v>
      </c>
      <c r="F176">
        <v>1.0184800380000001</v>
      </c>
      <c r="G176">
        <v>1</v>
      </c>
      <c r="H176">
        <v>4</v>
      </c>
      <c r="I176">
        <v>12</v>
      </c>
      <c r="J176">
        <v>11</v>
      </c>
      <c r="K176">
        <v>9</v>
      </c>
      <c r="L176">
        <v>4</v>
      </c>
      <c r="M176">
        <v>0</v>
      </c>
      <c r="O176">
        <v>0</v>
      </c>
    </row>
    <row r="177" spans="1:15" x14ac:dyDescent="0.35">
      <c r="A177" t="s">
        <v>203</v>
      </c>
      <c r="B177" t="s">
        <v>204</v>
      </c>
      <c r="C177">
        <v>36</v>
      </c>
      <c r="D177">
        <v>0</v>
      </c>
      <c r="E177">
        <v>1.9166666670000001</v>
      </c>
      <c r="F177">
        <v>0.87423435900000002</v>
      </c>
      <c r="G177">
        <v>1</v>
      </c>
      <c r="H177">
        <v>4</v>
      </c>
      <c r="I177">
        <v>12</v>
      </c>
      <c r="J177">
        <v>18</v>
      </c>
      <c r="K177">
        <v>3</v>
      </c>
      <c r="L177">
        <v>3</v>
      </c>
      <c r="M177">
        <v>0</v>
      </c>
      <c r="O177">
        <v>0</v>
      </c>
    </row>
    <row r="178" spans="1:15" x14ac:dyDescent="0.35">
      <c r="A178" t="s">
        <v>205</v>
      </c>
      <c r="B178" t="s">
        <v>206</v>
      </c>
      <c r="C178">
        <v>36</v>
      </c>
      <c r="D178">
        <v>0</v>
      </c>
      <c r="E178">
        <v>1.9722222220000001</v>
      </c>
      <c r="F178">
        <v>0.94070220299999996</v>
      </c>
      <c r="G178">
        <v>1</v>
      </c>
      <c r="H178">
        <v>4</v>
      </c>
      <c r="I178">
        <v>13</v>
      </c>
      <c r="J178">
        <v>14</v>
      </c>
      <c r="K178">
        <v>6</v>
      </c>
      <c r="L178">
        <v>3</v>
      </c>
      <c r="M178">
        <v>0</v>
      </c>
      <c r="O178">
        <v>0</v>
      </c>
    </row>
    <row r="179" spans="1:15" x14ac:dyDescent="0.35">
      <c r="A179" t="s">
        <v>279</v>
      </c>
      <c r="B179" t="s">
        <v>280</v>
      </c>
      <c r="C179">
        <v>36</v>
      </c>
      <c r="D179">
        <v>0</v>
      </c>
      <c r="E179">
        <v>2.0277777779999999</v>
      </c>
      <c r="F179">
        <v>1.18288053</v>
      </c>
      <c r="G179">
        <v>1</v>
      </c>
      <c r="H179">
        <v>5</v>
      </c>
      <c r="I179">
        <v>14</v>
      </c>
      <c r="J179">
        <v>15</v>
      </c>
      <c r="K179">
        <v>1</v>
      </c>
      <c r="L179">
        <v>4</v>
      </c>
      <c r="M179">
        <v>2</v>
      </c>
      <c r="O179">
        <v>0</v>
      </c>
    </row>
    <row r="180" spans="1:15" x14ac:dyDescent="0.35">
      <c r="A180" t="s">
        <v>365</v>
      </c>
      <c r="B180" t="s">
        <v>366</v>
      </c>
      <c r="C180">
        <v>36</v>
      </c>
      <c r="D180">
        <v>0</v>
      </c>
      <c r="E180">
        <v>2.0833333330000001</v>
      </c>
      <c r="F180">
        <v>0.93732141199999996</v>
      </c>
      <c r="G180">
        <v>1</v>
      </c>
      <c r="H180">
        <v>4</v>
      </c>
      <c r="I180">
        <v>10</v>
      </c>
      <c r="J180">
        <v>17</v>
      </c>
      <c r="K180">
        <v>5</v>
      </c>
      <c r="L180">
        <v>4</v>
      </c>
      <c r="M180">
        <v>0</v>
      </c>
      <c r="O180">
        <v>0</v>
      </c>
    </row>
    <row r="181" spans="1:15" x14ac:dyDescent="0.35">
      <c r="A181" t="s">
        <v>367</v>
      </c>
      <c r="B181" t="s">
        <v>368</v>
      </c>
      <c r="C181">
        <v>36</v>
      </c>
      <c r="D181">
        <v>0</v>
      </c>
      <c r="E181">
        <v>1.9166666670000001</v>
      </c>
      <c r="F181">
        <v>0.76997216999999996</v>
      </c>
      <c r="G181">
        <v>1</v>
      </c>
      <c r="H181">
        <v>4</v>
      </c>
      <c r="I181">
        <v>11</v>
      </c>
      <c r="J181">
        <v>18</v>
      </c>
      <c r="K181">
        <v>6</v>
      </c>
      <c r="L181">
        <v>1</v>
      </c>
      <c r="M181">
        <v>0</v>
      </c>
      <c r="O181">
        <v>0</v>
      </c>
    </row>
    <row r="182" spans="1:15" x14ac:dyDescent="0.35">
      <c r="A182" t="s">
        <v>369</v>
      </c>
      <c r="B182" t="s">
        <v>370</v>
      </c>
      <c r="C182">
        <v>36</v>
      </c>
      <c r="D182">
        <v>0</v>
      </c>
      <c r="E182">
        <v>2.25</v>
      </c>
      <c r="F182">
        <v>1.1051825959999999</v>
      </c>
      <c r="G182">
        <v>1</v>
      </c>
      <c r="H182">
        <v>4</v>
      </c>
      <c r="I182">
        <v>11</v>
      </c>
      <c r="J182">
        <v>12</v>
      </c>
      <c r="K182">
        <v>6</v>
      </c>
      <c r="L182">
        <v>7</v>
      </c>
      <c r="M182">
        <v>0</v>
      </c>
      <c r="O182">
        <v>0</v>
      </c>
    </row>
    <row r="183" spans="1:15" x14ac:dyDescent="0.35">
      <c r="A183" t="s">
        <v>287</v>
      </c>
      <c r="B183" t="s">
        <v>288</v>
      </c>
      <c r="C183">
        <v>36</v>
      </c>
      <c r="D183">
        <v>0</v>
      </c>
      <c r="E183">
        <v>2.0277777779999999</v>
      </c>
      <c r="F183">
        <v>0.99960309599999997</v>
      </c>
      <c r="G183">
        <v>1</v>
      </c>
      <c r="H183">
        <v>5</v>
      </c>
      <c r="I183">
        <v>11</v>
      </c>
      <c r="J183">
        <v>18</v>
      </c>
      <c r="K183">
        <v>3</v>
      </c>
      <c r="L183">
        <v>3</v>
      </c>
      <c r="M183">
        <v>1</v>
      </c>
      <c r="O183">
        <v>0</v>
      </c>
    </row>
    <row r="184" spans="1:15" x14ac:dyDescent="0.35">
      <c r="A184" t="s">
        <v>289</v>
      </c>
      <c r="B184" t="s">
        <v>290</v>
      </c>
      <c r="C184">
        <v>36</v>
      </c>
      <c r="D184">
        <v>0</v>
      </c>
      <c r="E184">
        <v>2.2777777779999999</v>
      </c>
      <c r="F184">
        <v>1.085254706</v>
      </c>
      <c r="G184">
        <v>1</v>
      </c>
      <c r="H184">
        <v>5</v>
      </c>
      <c r="I184">
        <v>10</v>
      </c>
      <c r="J184">
        <v>12</v>
      </c>
      <c r="K184">
        <v>9</v>
      </c>
      <c r="L184">
        <v>4</v>
      </c>
      <c r="M184">
        <v>1</v>
      </c>
      <c r="O184">
        <v>0</v>
      </c>
    </row>
    <row r="185" spans="1:15" x14ac:dyDescent="0.35">
      <c r="A185" t="s">
        <v>291</v>
      </c>
      <c r="B185" t="s">
        <v>292</v>
      </c>
      <c r="C185">
        <v>36</v>
      </c>
      <c r="D185">
        <v>0</v>
      </c>
      <c r="E185">
        <v>2.1666666669999999</v>
      </c>
      <c r="F185">
        <v>0.94112394799999999</v>
      </c>
      <c r="G185">
        <v>1</v>
      </c>
      <c r="H185">
        <v>4</v>
      </c>
      <c r="I185">
        <v>9</v>
      </c>
      <c r="J185">
        <v>16</v>
      </c>
      <c r="K185">
        <v>7</v>
      </c>
      <c r="L185">
        <v>4</v>
      </c>
      <c r="M185">
        <v>0</v>
      </c>
      <c r="O185">
        <v>0</v>
      </c>
    </row>
    <row r="186" spans="1:15" x14ac:dyDescent="0.35">
      <c r="A186" t="s">
        <v>377</v>
      </c>
      <c r="B186" t="s">
        <v>378</v>
      </c>
      <c r="C186">
        <v>36</v>
      </c>
      <c r="D186">
        <v>0</v>
      </c>
      <c r="E186">
        <v>2.3055555559999998</v>
      </c>
      <c r="F186">
        <v>1.037013416</v>
      </c>
      <c r="G186">
        <v>1</v>
      </c>
      <c r="H186">
        <v>5</v>
      </c>
      <c r="I186">
        <v>7</v>
      </c>
      <c r="J186">
        <v>17</v>
      </c>
      <c r="K186">
        <v>8</v>
      </c>
      <c r="L186">
        <v>2</v>
      </c>
      <c r="M186">
        <v>2</v>
      </c>
      <c r="O186">
        <v>0</v>
      </c>
    </row>
    <row r="187" spans="1:15" x14ac:dyDescent="0.35">
      <c r="A187" t="s">
        <v>379</v>
      </c>
      <c r="B187" t="s">
        <v>380</v>
      </c>
      <c r="C187">
        <v>36</v>
      </c>
      <c r="D187">
        <v>0</v>
      </c>
      <c r="E187">
        <v>1.638888889</v>
      </c>
      <c r="F187">
        <v>0.59294797499999996</v>
      </c>
      <c r="G187">
        <v>1</v>
      </c>
      <c r="H187">
        <v>3</v>
      </c>
      <c r="I187">
        <v>15</v>
      </c>
      <c r="J187">
        <v>19</v>
      </c>
      <c r="K187">
        <v>2</v>
      </c>
      <c r="L187">
        <v>0</v>
      </c>
      <c r="M187">
        <v>0</v>
      </c>
      <c r="O187">
        <v>0</v>
      </c>
    </row>
    <row r="188" spans="1:15" x14ac:dyDescent="0.35">
      <c r="A188" t="s">
        <v>297</v>
      </c>
      <c r="B188" t="s">
        <v>298</v>
      </c>
      <c r="C188">
        <v>36</v>
      </c>
      <c r="D188">
        <v>0</v>
      </c>
      <c r="E188">
        <v>2.1944444440000002</v>
      </c>
      <c r="F188">
        <v>1.0907256940000001</v>
      </c>
      <c r="G188">
        <v>1</v>
      </c>
      <c r="H188">
        <v>5</v>
      </c>
      <c r="I188">
        <v>11</v>
      </c>
      <c r="J188">
        <v>13</v>
      </c>
      <c r="K188">
        <v>7</v>
      </c>
      <c r="L188">
        <v>4</v>
      </c>
      <c r="M188">
        <v>1</v>
      </c>
      <c r="O188">
        <v>0</v>
      </c>
    </row>
    <row r="189" spans="1:15" x14ac:dyDescent="0.35">
      <c r="A189" t="s">
        <v>299</v>
      </c>
      <c r="B189" t="s">
        <v>300</v>
      </c>
      <c r="C189">
        <v>36</v>
      </c>
      <c r="D189">
        <v>0</v>
      </c>
      <c r="E189">
        <v>1.9722222220000001</v>
      </c>
      <c r="F189">
        <v>0.87785814399999995</v>
      </c>
      <c r="G189">
        <v>1</v>
      </c>
      <c r="H189">
        <v>5</v>
      </c>
      <c r="I189">
        <v>10</v>
      </c>
      <c r="J189">
        <v>20</v>
      </c>
      <c r="K189">
        <v>4</v>
      </c>
      <c r="L189">
        <v>1</v>
      </c>
      <c r="M189">
        <v>1</v>
      </c>
      <c r="O189">
        <v>0</v>
      </c>
    </row>
    <row r="190" spans="1:15" x14ac:dyDescent="0.35">
      <c r="A190" t="s">
        <v>301</v>
      </c>
      <c r="B190" t="s">
        <v>302</v>
      </c>
      <c r="C190">
        <v>36</v>
      </c>
      <c r="D190">
        <v>0</v>
      </c>
      <c r="E190">
        <v>2.111111111</v>
      </c>
      <c r="F190">
        <v>1.1155467020000001</v>
      </c>
      <c r="G190">
        <v>1</v>
      </c>
      <c r="H190">
        <v>5</v>
      </c>
      <c r="I190">
        <v>11</v>
      </c>
      <c r="J190">
        <v>17</v>
      </c>
      <c r="K190">
        <v>3</v>
      </c>
      <c r="L190">
        <v>3</v>
      </c>
      <c r="M190">
        <v>2</v>
      </c>
      <c r="O190">
        <v>0</v>
      </c>
    </row>
    <row r="191" spans="1:15" x14ac:dyDescent="0.35">
      <c r="A191" t="s">
        <v>231</v>
      </c>
      <c r="B191" t="s">
        <v>232</v>
      </c>
      <c r="C191">
        <v>36</v>
      </c>
      <c r="D191">
        <v>0</v>
      </c>
      <c r="E191">
        <v>2.138888889</v>
      </c>
      <c r="F191">
        <v>1.1251102239999999</v>
      </c>
      <c r="G191">
        <v>1</v>
      </c>
      <c r="H191">
        <v>5</v>
      </c>
      <c r="I191">
        <v>11</v>
      </c>
      <c r="J191">
        <v>16</v>
      </c>
      <c r="K191">
        <v>4</v>
      </c>
      <c r="L191">
        <v>3</v>
      </c>
      <c r="M191">
        <v>2</v>
      </c>
      <c r="O191">
        <v>0</v>
      </c>
    </row>
    <row r="192" spans="1:15" x14ac:dyDescent="0.35">
      <c r="A192" t="s">
        <v>389</v>
      </c>
      <c r="B192" t="s">
        <v>390</v>
      </c>
      <c r="C192">
        <v>36</v>
      </c>
      <c r="D192">
        <v>0</v>
      </c>
      <c r="E192">
        <v>2.3889</v>
      </c>
      <c r="F192">
        <v>1.0764432909999999</v>
      </c>
      <c r="G192">
        <v>1</v>
      </c>
      <c r="H192">
        <v>5</v>
      </c>
      <c r="I192">
        <v>7</v>
      </c>
      <c r="J192">
        <v>16</v>
      </c>
      <c r="K192">
        <v>6</v>
      </c>
      <c r="L192">
        <v>6</v>
      </c>
      <c r="M192">
        <v>1</v>
      </c>
      <c r="O192">
        <v>0</v>
      </c>
    </row>
    <row r="193" spans="1:15" x14ac:dyDescent="0.35">
      <c r="A193" t="s">
        <v>391</v>
      </c>
      <c r="B193" t="s">
        <v>392</v>
      </c>
      <c r="C193">
        <v>36</v>
      </c>
      <c r="D193">
        <v>0</v>
      </c>
      <c r="E193">
        <v>1.5555555560000001</v>
      </c>
      <c r="F193">
        <v>0.55777335100000003</v>
      </c>
      <c r="G193">
        <v>1</v>
      </c>
      <c r="H193">
        <v>3</v>
      </c>
      <c r="I193">
        <v>17</v>
      </c>
      <c r="J193">
        <v>18</v>
      </c>
      <c r="K193">
        <v>1</v>
      </c>
      <c r="L193">
        <v>0</v>
      </c>
      <c r="M193">
        <v>0</v>
      </c>
      <c r="O193">
        <v>0</v>
      </c>
    </row>
    <row r="194" spans="1:15" x14ac:dyDescent="0.35">
      <c r="A194" t="s">
        <v>393</v>
      </c>
      <c r="B194" t="s">
        <v>394</v>
      </c>
      <c r="C194">
        <v>36</v>
      </c>
      <c r="D194">
        <v>0</v>
      </c>
      <c r="E194">
        <v>1.75</v>
      </c>
      <c r="F194">
        <v>0.73192505500000005</v>
      </c>
      <c r="G194">
        <v>1</v>
      </c>
      <c r="H194">
        <v>4</v>
      </c>
      <c r="I194">
        <v>14</v>
      </c>
      <c r="J194">
        <v>18</v>
      </c>
      <c r="K194">
        <v>3</v>
      </c>
      <c r="L194">
        <v>1</v>
      </c>
      <c r="M194">
        <v>0</v>
      </c>
      <c r="O194">
        <v>0</v>
      </c>
    </row>
    <row r="195" spans="1:15" x14ac:dyDescent="0.35">
      <c r="A195" t="s">
        <v>239</v>
      </c>
      <c r="B195" t="s">
        <v>240</v>
      </c>
      <c r="C195">
        <v>36</v>
      </c>
      <c r="D195">
        <v>0</v>
      </c>
      <c r="E195">
        <v>1.9444444439999999</v>
      </c>
      <c r="F195">
        <v>0.82615959900000002</v>
      </c>
      <c r="G195">
        <v>1</v>
      </c>
      <c r="H195">
        <v>5</v>
      </c>
      <c r="I195">
        <v>10</v>
      </c>
      <c r="J195">
        <v>20</v>
      </c>
      <c r="K195">
        <v>5</v>
      </c>
      <c r="L195">
        <v>0</v>
      </c>
      <c r="M195">
        <v>1</v>
      </c>
      <c r="O195">
        <v>0</v>
      </c>
    </row>
    <row r="196" spans="1:15" x14ac:dyDescent="0.35">
      <c r="A196" t="s">
        <v>241</v>
      </c>
      <c r="B196" t="s">
        <v>242</v>
      </c>
      <c r="C196">
        <v>36</v>
      </c>
      <c r="D196">
        <v>0</v>
      </c>
      <c r="E196">
        <v>2.2777777779999999</v>
      </c>
      <c r="F196">
        <v>1.085254706</v>
      </c>
      <c r="G196">
        <v>1</v>
      </c>
      <c r="H196">
        <v>5</v>
      </c>
      <c r="I196">
        <v>8</v>
      </c>
      <c r="J196">
        <v>17</v>
      </c>
      <c r="K196">
        <v>6</v>
      </c>
      <c r="L196">
        <v>3</v>
      </c>
      <c r="M196">
        <v>2</v>
      </c>
      <c r="O196">
        <v>0</v>
      </c>
    </row>
    <row r="197" spans="1:15" x14ac:dyDescent="0.35">
      <c r="A197" t="s">
        <v>219</v>
      </c>
      <c r="B197" t="s">
        <v>220</v>
      </c>
      <c r="C197">
        <v>36</v>
      </c>
      <c r="D197">
        <v>0</v>
      </c>
      <c r="E197">
        <v>2.388888889</v>
      </c>
      <c r="F197">
        <v>1.128280051</v>
      </c>
      <c r="G197">
        <v>1</v>
      </c>
      <c r="H197">
        <v>5</v>
      </c>
      <c r="I197">
        <v>6</v>
      </c>
      <c r="J197">
        <v>20</v>
      </c>
      <c r="K197">
        <v>2</v>
      </c>
      <c r="L197">
        <v>6</v>
      </c>
      <c r="M197">
        <v>2</v>
      </c>
      <c r="O197">
        <v>0</v>
      </c>
    </row>
    <row r="198" spans="1:15" x14ac:dyDescent="0.35">
      <c r="A198" t="s">
        <v>401</v>
      </c>
      <c r="B198" t="s">
        <v>402</v>
      </c>
      <c r="C198">
        <v>36</v>
      </c>
      <c r="D198">
        <v>0</v>
      </c>
      <c r="E198">
        <v>2.1389</v>
      </c>
      <c r="F198">
        <v>0.96073715100000001</v>
      </c>
      <c r="G198">
        <v>1</v>
      </c>
      <c r="H198">
        <v>5</v>
      </c>
      <c r="I198">
        <v>9</v>
      </c>
      <c r="J198">
        <v>17</v>
      </c>
      <c r="K198">
        <v>7</v>
      </c>
      <c r="L198">
        <v>2</v>
      </c>
      <c r="M198">
        <v>1</v>
      </c>
      <c r="O198">
        <v>0</v>
      </c>
    </row>
    <row r="199" spans="1:15" x14ac:dyDescent="0.35">
      <c r="A199" t="s">
        <v>403</v>
      </c>
      <c r="B199" t="s">
        <v>404</v>
      </c>
      <c r="C199">
        <v>36</v>
      </c>
      <c r="D199">
        <v>0</v>
      </c>
      <c r="E199">
        <v>2.888888889</v>
      </c>
      <c r="F199">
        <v>1.089633694</v>
      </c>
      <c r="G199">
        <v>1</v>
      </c>
      <c r="H199">
        <v>4</v>
      </c>
      <c r="I199">
        <v>4</v>
      </c>
      <c r="J199">
        <v>11</v>
      </c>
      <c r="K199">
        <v>6</v>
      </c>
      <c r="L199">
        <v>15</v>
      </c>
      <c r="M199">
        <v>0</v>
      </c>
      <c r="O199">
        <v>0</v>
      </c>
    </row>
    <row r="200" spans="1:15" x14ac:dyDescent="0.35">
      <c r="A200" t="s">
        <v>225</v>
      </c>
      <c r="B200" t="s">
        <v>226</v>
      </c>
      <c r="C200">
        <v>36</v>
      </c>
      <c r="D200">
        <v>0</v>
      </c>
      <c r="E200">
        <v>2.1944444440000002</v>
      </c>
      <c r="F200">
        <v>1.064208477</v>
      </c>
      <c r="G200">
        <v>1</v>
      </c>
      <c r="H200">
        <v>5</v>
      </c>
      <c r="I200">
        <v>9</v>
      </c>
      <c r="J200">
        <v>18</v>
      </c>
      <c r="K200">
        <v>3</v>
      </c>
      <c r="L200">
        <v>5</v>
      </c>
      <c r="M200">
        <v>1</v>
      </c>
      <c r="O200">
        <v>0</v>
      </c>
    </row>
    <row r="201" spans="1:15" x14ac:dyDescent="0.35">
      <c r="A201" t="s">
        <v>227</v>
      </c>
      <c r="B201" t="s">
        <v>228</v>
      </c>
      <c r="C201">
        <v>36</v>
      </c>
      <c r="D201">
        <v>0</v>
      </c>
      <c r="E201">
        <v>1.9722222220000001</v>
      </c>
      <c r="F201">
        <v>0.81015381600000003</v>
      </c>
      <c r="G201">
        <v>1</v>
      </c>
      <c r="H201">
        <v>5</v>
      </c>
      <c r="I201">
        <v>9</v>
      </c>
      <c r="J201">
        <v>21</v>
      </c>
      <c r="K201">
        <v>5</v>
      </c>
      <c r="L201">
        <v>0</v>
      </c>
      <c r="M201">
        <v>1</v>
      </c>
      <c r="O201">
        <v>0</v>
      </c>
    </row>
    <row r="202" spans="1:15" x14ac:dyDescent="0.35">
      <c r="A202" t="s">
        <v>229</v>
      </c>
      <c r="B202" t="s">
        <v>230</v>
      </c>
      <c r="C202">
        <v>36</v>
      </c>
      <c r="D202">
        <v>0</v>
      </c>
      <c r="E202">
        <v>2.3333333330000001</v>
      </c>
      <c r="F202">
        <v>1.146423008</v>
      </c>
      <c r="G202">
        <v>1</v>
      </c>
      <c r="H202">
        <v>5</v>
      </c>
      <c r="I202">
        <v>9</v>
      </c>
      <c r="J202">
        <v>14</v>
      </c>
      <c r="K202">
        <v>7</v>
      </c>
      <c r="L202">
        <v>4</v>
      </c>
      <c r="M202">
        <v>2</v>
      </c>
      <c r="O202">
        <v>0</v>
      </c>
    </row>
    <row r="203" spans="1:15" x14ac:dyDescent="0.35">
      <c r="A203" t="s">
        <v>267</v>
      </c>
      <c r="B203" t="s">
        <v>268</v>
      </c>
      <c r="C203">
        <v>36</v>
      </c>
      <c r="D203">
        <v>0</v>
      </c>
      <c r="E203">
        <v>2.638888889</v>
      </c>
      <c r="F203">
        <v>1.1988751339999999</v>
      </c>
      <c r="G203">
        <v>1</v>
      </c>
      <c r="H203">
        <v>5</v>
      </c>
      <c r="I203">
        <v>4</v>
      </c>
      <c r="J203">
        <v>18</v>
      </c>
      <c r="K203">
        <v>5</v>
      </c>
      <c r="L203">
        <v>5</v>
      </c>
      <c r="M203">
        <v>4</v>
      </c>
      <c r="O203">
        <v>0</v>
      </c>
    </row>
    <row r="204" spans="1:15" x14ac:dyDescent="0.35">
      <c r="A204" t="s">
        <v>413</v>
      </c>
      <c r="B204" t="s">
        <v>414</v>
      </c>
      <c r="C204">
        <v>36</v>
      </c>
      <c r="D204">
        <v>0</v>
      </c>
      <c r="E204">
        <v>2.8333333330000001</v>
      </c>
      <c r="F204">
        <v>1.1338934190000001</v>
      </c>
      <c r="G204">
        <v>1</v>
      </c>
      <c r="H204">
        <v>5</v>
      </c>
      <c r="I204">
        <v>3</v>
      </c>
      <c r="J204">
        <v>14</v>
      </c>
      <c r="K204">
        <v>8</v>
      </c>
      <c r="L204">
        <v>8</v>
      </c>
      <c r="M204">
        <v>3</v>
      </c>
      <c r="O204">
        <v>0</v>
      </c>
    </row>
    <row r="205" spans="1:15" x14ac:dyDescent="0.35">
      <c r="A205" t="s">
        <v>415</v>
      </c>
      <c r="B205" t="s">
        <v>416</v>
      </c>
      <c r="C205">
        <v>36</v>
      </c>
      <c r="D205">
        <v>0</v>
      </c>
      <c r="E205">
        <v>2.111111111</v>
      </c>
      <c r="F205">
        <v>0.85449325899999995</v>
      </c>
      <c r="G205">
        <v>1</v>
      </c>
      <c r="H205">
        <v>4</v>
      </c>
      <c r="I205">
        <v>8</v>
      </c>
      <c r="J205">
        <v>19</v>
      </c>
      <c r="K205">
        <v>6</v>
      </c>
      <c r="L205">
        <v>3</v>
      </c>
      <c r="M205">
        <v>0</v>
      </c>
      <c r="O205">
        <v>0</v>
      </c>
    </row>
    <row r="206" spans="1:15" x14ac:dyDescent="0.35">
      <c r="A206" t="s">
        <v>273</v>
      </c>
      <c r="B206" t="s">
        <v>274</v>
      </c>
      <c r="C206">
        <v>36</v>
      </c>
      <c r="D206">
        <v>0</v>
      </c>
      <c r="E206">
        <v>3.0833333330000001</v>
      </c>
      <c r="F206">
        <v>1.227657467</v>
      </c>
      <c r="G206">
        <v>1</v>
      </c>
      <c r="H206">
        <v>5</v>
      </c>
      <c r="I206">
        <v>5</v>
      </c>
      <c r="J206">
        <v>7</v>
      </c>
      <c r="K206">
        <v>7</v>
      </c>
      <c r="L206">
        <v>14</v>
      </c>
      <c r="M206">
        <v>3</v>
      </c>
      <c r="O206">
        <v>0</v>
      </c>
    </row>
    <row r="207" spans="1:15" x14ac:dyDescent="0.35">
      <c r="A207" t="s">
        <v>275</v>
      </c>
      <c r="B207" t="s">
        <v>276</v>
      </c>
      <c r="C207">
        <v>36</v>
      </c>
      <c r="D207">
        <v>0</v>
      </c>
      <c r="E207">
        <v>2.7777777779999999</v>
      </c>
      <c r="F207">
        <v>1.0720104239999999</v>
      </c>
      <c r="G207">
        <v>1</v>
      </c>
      <c r="H207">
        <v>5</v>
      </c>
      <c r="I207">
        <v>4</v>
      </c>
      <c r="J207">
        <v>12</v>
      </c>
      <c r="K207">
        <v>9</v>
      </c>
      <c r="L207">
        <v>10</v>
      </c>
      <c r="M207">
        <v>1</v>
      </c>
      <c r="O207">
        <v>0</v>
      </c>
    </row>
    <row r="208" spans="1:15" x14ac:dyDescent="0.35">
      <c r="A208" t="s">
        <v>277</v>
      </c>
      <c r="B208" t="s">
        <v>278</v>
      </c>
      <c r="C208">
        <v>36</v>
      </c>
      <c r="D208">
        <v>0</v>
      </c>
      <c r="E208">
        <v>2.8055555559999998</v>
      </c>
      <c r="F208">
        <v>1.064208477</v>
      </c>
      <c r="G208">
        <v>1</v>
      </c>
      <c r="H208">
        <v>5</v>
      </c>
      <c r="I208">
        <v>3</v>
      </c>
      <c r="J208">
        <v>12</v>
      </c>
      <c r="K208">
        <v>13</v>
      </c>
      <c r="L208">
        <v>5</v>
      </c>
      <c r="M208">
        <v>3</v>
      </c>
      <c r="O208">
        <v>0</v>
      </c>
    </row>
    <row r="209" spans="1:15" x14ac:dyDescent="0.35">
      <c r="A209" t="s">
        <v>255</v>
      </c>
      <c r="B209" t="s">
        <v>256</v>
      </c>
      <c r="C209">
        <v>36</v>
      </c>
      <c r="D209">
        <v>0</v>
      </c>
      <c r="E209">
        <v>1.7777777779999999</v>
      </c>
      <c r="F209">
        <v>0.89796949100000001</v>
      </c>
      <c r="G209">
        <v>1</v>
      </c>
      <c r="H209">
        <v>4</v>
      </c>
      <c r="I209">
        <v>16</v>
      </c>
      <c r="J209">
        <v>15</v>
      </c>
      <c r="K209">
        <v>2</v>
      </c>
      <c r="L209">
        <v>3</v>
      </c>
      <c r="M209">
        <v>0</v>
      </c>
      <c r="O209">
        <v>0</v>
      </c>
    </row>
    <row r="210" spans="1:15" x14ac:dyDescent="0.35">
      <c r="A210" t="s">
        <v>425</v>
      </c>
      <c r="B210" t="s">
        <v>426</v>
      </c>
      <c r="C210">
        <v>36</v>
      </c>
      <c r="D210">
        <v>0</v>
      </c>
      <c r="E210">
        <v>2.111111111</v>
      </c>
      <c r="F210">
        <v>0.94951951099999998</v>
      </c>
      <c r="G210">
        <v>1</v>
      </c>
      <c r="H210">
        <v>4</v>
      </c>
      <c r="I210">
        <v>10</v>
      </c>
      <c r="J210">
        <v>16</v>
      </c>
      <c r="K210">
        <v>6</v>
      </c>
      <c r="L210">
        <v>4</v>
      </c>
      <c r="M210">
        <v>0</v>
      </c>
      <c r="O210">
        <v>0</v>
      </c>
    </row>
    <row r="211" spans="1:15" x14ac:dyDescent="0.35">
      <c r="A211" t="s">
        <v>427</v>
      </c>
      <c r="B211" t="s">
        <v>428</v>
      </c>
      <c r="C211">
        <v>36</v>
      </c>
      <c r="D211">
        <v>0</v>
      </c>
      <c r="E211">
        <v>2.0277777779999999</v>
      </c>
      <c r="F211">
        <v>0.970599553</v>
      </c>
      <c r="G211">
        <v>1</v>
      </c>
      <c r="H211">
        <v>5</v>
      </c>
      <c r="I211">
        <v>11</v>
      </c>
      <c r="J211">
        <v>17</v>
      </c>
      <c r="K211">
        <v>5</v>
      </c>
      <c r="L211">
        <v>2</v>
      </c>
      <c r="M211">
        <v>1</v>
      </c>
      <c r="O211">
        <v>0</v>
      </c>
    </row>
    <row r="212" spans="1:15" x14ac:dyDescent="0.35">
      <c r="A212" t="s">
        <v>429</v>
      </c>
      <c r="B212" t="s">
        <v>430</v>
      </c>
      <c r="C212">
        <v>36</v>
      </c>
      <c r="D212">
        <v>0</v>
      </c>
      <c r="E212">
        <v>2.7222222220000001</v>
      </c>
      <c r="F212">
        <v>1.161553421</v>
      </c>
      <c r="G212">
        <v>1</v>
      </c>
      <c r="H212">
        <v>5</v>
      </c>
      <c r="I212">
        <v>4</v>
      </c>
      <c r="J212">
        <v>14</v>
      </c>
      <c r="K212">
        <v>10</v>
      </c>
      <c r="L212">
        <v>4</v>
      </c>
      <c r="M212">
        <v>4</v>
      </c>
      <c r="O212">
        <v>0</v>
      </c>
    </row>
    <row r="213" spans="1:15" x14ac:dyDescent="0.35">
      <c r="A213" t="s">
        <v>263</v>
      </c>
      <c r="B213" t="s">
        <v>264</v>
      </c>
      <c r="C213">
        <v>36</v>
      </c>
      <c r="D213">
        <v>0</v>
      </c>
      <c r="E213">
        <v>2.111111111</v>
      </c>
      <c r="F213">
        <v>0.91893658300000003</v>
      </c>
      <c r="G213">
        <v>1</v>
      </c>
      <c r="H213">
        <v>4</v>
      </c>
      <c r="I213">
        <v>10</v>
      </c>
      <c r="J213">
        <v>15</v>
      </c>
      <c r="K213">
        <v>8</v>
      </c>
      <c r="L213">
        <v>3</v>
      </c>
      <c r="M213">
        <v>0</v>
      </c>
      <c r="O213">
        <v>0</v>
      </c>
    </row>
    <row r="214" spans="1:15" x14ac:dyDescent="0.35">
      <c r="A214" t="s">
        <v>265</v>
      </c>
      <c r="B214" t="s">
        <v>266</v>
      </c>
      <c r="C214">
        <v>36</v>
      </c>
      <c r="D214">
        <v>0</v>
      </c>
      <c r="E214">
        <v>1.9166666670000001</v>
      </c>
      <c r="F214">
        <v>0.76997216999999996</v>
      </c>
      <c r="G214">
        <v>1</v>
      </c>
      <c r="H214">
        <v>4</v>
      </c>
      <c r="I214">
        <v>10</v>
      </c>
      <c r="J214">
        <v>21</v>
      </c>
      <c r="K214">
        <v>3</v>
      </c>
      <c r="L214">
        <v>2</v>
      </c>
      <c r="M214">
        <v>0</v>
      </c>
      <c r="O214">
        <v>0</v>
      </c>
    </row>
    <row r="215" spans="1:15" x14ac:dyDescent="0.35">
      <c r="A215" t="s">
        <v>243</v>
      </c>
      <c r="B215" t="s">
        <v>244</v>
      </c>
      <c r="C215">
        <v>36</v>
      </c>
      <c r="D215">
        <v>0</v>
      </c>
      <c r="E215">
        <v>2.75</v>
      </c>
      <c r="F215">
        <v>1.317465098</v>
      </c>
      <c r="G215">
        <v>1</v>
      </c>
      <c r="H215">
        <v>5</v>
      </c>
      <c r="I215">
        <v>6</v>
      </c>
      <c r="J215">
        <v>14</v>
      </c>
      <c r="K215">
        <v>3</v>
      </c>
      <c r="L215">
        <v>9</v>
      </c>
      <c r="M215">
        <v>4</v>
      </c>
      <c r="O215">
        <v>0</v>
      </c>
    </row>
    <row r="216" spans="1:15" x14ac:dyDescent="0.35">
      <c r="A216" t="s">
        <v>437</v>
      </c>
      <c r="B216" t="s">
        <v>438</v>
      </c>
      <c r="C216">
        <v>36</v>
      </c>
      <c r="D216">
        <v>0</v>
      </c>
      <c r="E216">
        <v>1.6943999999999999</v>
      </c>
      <c r="F216">
        <v>0.66844999599999999</v>
      </c>
      <c r="G216">
        <v>1</v>
      </c>
      <c r="H216">
        <v>4</v>
      </c>
      <c r="I216">
        <v>14</v>
      </c>
      <c r="J216">
        <v>20</v>
      </c>
      <c r="K216">
        <v>1</v>
      </c>
      <c r="L216">
        <v>1</v>
      </c>
      <c r="M216">
        <v>0</v>
      </c>
      <c r="O216">
        <v>0</v>
      </c>
    </row>
    <row r="217" spans="1:15" x14ac:dyDescent="0.35">
      <c r="A217" t="s">
        <v>439</v>
      </c>
      <c r="B217" t="s">
        <v>440</v>
      </c>
      <c r="C217">
        <v>36</v>
      </c>
      <c r="D217">
        <v>0</v>
      </c>
      <c r="E217">
        <v>1.8055555560000001</v>
      </c>
      <c r="F217">
        <v>0.70990721499999998</v>
      </c>
      <c r="G217">
        <v>1</v>
      </c>
      <c r="H217">
        <v>4</v>
      </c>
      <c r="I217">
        <v>12</v>
      </c>
      <c r="J217">
        <v>20</v>
      </c>
      <c r="K217">
        <v>3</v>
      </c>
      <c r="L217">
        <v>1</v>
      </c>
      <c r="M217">
        <v>0</v>
      </c>
      <c r="O217">
        <v>0</v>
      </c>
    </row>
    <row r="218" spans="1:15" x14ac:dyDescent="0.35">
      <c r="A218" t="s">
        <v>249</v>
      </c>
      <c r="B218" t="s">
        <v>250</v>
      </c>
      <c r="C218">
        <v>36</v>
      </c>
      <c r="D218">
        <v>0</v>
      </c>
      <c r="E218">
        <v>1.9722222220000001</v>
      </c>
      <c r="F218">
        <v>0.84468459399999996</v>
      </c>
      <c r="G218">
        <v>1</v>
      </c>
      <c r="H218">
        <v>4</v>
      </c>
      <c r="I218">
        <v>11</v>
      </c>
      <c r="J218">
        <v>17</v>
      </c>
      <c r="K218">
        <v>6</v>
      </c>
      <c r="L218">
        <v>2</v>
      </c>
      <c r="M218">
        <v>0</v>
      </c>
      <c r="O218">
        <v>0</v>
      </c>
    </row>
    <row r="219" spans="1:15" x14ac:dyDescent="0.35">
      <c r="A219" t="s">
        <v>251</v>
      </c>
      <c r="B219" t="s">
        <v>252</v>
      </c>
      <c r="C219">
        <v>36</v>
      </c>
      <c r="D219">
        <v>0</v>
      </c>
      <c r="E219">
        <v>1.8055555560000001</v>
      </c>
      <c r="F219">
        <v>0.70990721499999998</v>
      </c>
      <c r="G219">
        <v>1</v>
      </c>
      <c r="H219">
        <v>4</v>
      </c>
      <c r="I219">
        <v>12</v>
      </c>
      <c r="J219">
        <v>20</v>
      </c>
      <c r="K219">
        <v>3</v>
      </c>
      <c r="L219">
        <v>1</v>
      </c>
      <c r="M219">
        <v>0</v>
      </c>
      <c r="O219">
        <v>0</v>
      </c>
    </row>
    <row r="220" spans="1:15" x14ac:dyDescent="0.35">
      <c r="A220" t="s">
        <v>253</v>
      </c>
      <c r="B220" t="s">
        <v>254</v>
      </c>
      <c r="C220">
        <v>36</v>
      </c>
      <c r="D220">
        <v>0</v>
      </c>
      <c r="E220">
        <v>2.138888889</v>
      </c>
      <c r="F220">
        <v>1.0461569879999999</v>
      </c>
      <c r="G220">
        <v>1</v>
      </c>
      <c r="H220">
        <v>5</v>
      </c>
      <c r="I220">
        <v>10</v>
      </c>
      <c r="J220">
        <v>17</v>
      </c>
      <c r="K220">
        <v>4</v>
      </c>
      <c r="L220">
        <v>4</v>
      </c>
      <c r="M220">
        <v>1</v>
      </c>
      <c r="O220">
        <v>0</v>
      </c>
    </row>
    <row r="221" spans="1:15" x14ac:dyDescent="0.35">
      <c r="A221" t="s">
        <v>447</v>
      </c>
      <c r="B221" t="s">
        <v>448</v>
      </c>
      <c r="C221">
        <v>36</v>
      </c>
      <c r="D221">
        <v>0</v>
      </c>
      <c r="E221">
        <v>1.861111111</v>
      </c>
      <c r="F221">
        <v>0.48713610800000001</v>
      </c>
      <c r="G221">
        <v>1</v>
      </c>
      <c r="H221">
        <v>3</v>
      </c>
      <c r="I221">
        <v>7</v>
      </c>
      <c r="J221">
        <v>27</v>
      </c>
      <c r="K221">
        <v>2</v>
      </c>
      <c r="O221">
        <v>0</v>
      </c>
    </row>
    <row r="222" spans="1:15" x14ac:dyDescent="0.35">
      <c r="A222" t="s">
        <v>449</v>
      </c>
      <c r="B222" t="s">
        <v>450</v>
      </c>
      <c r="C222">
        <v>36</v>
      </c>
      <c r="D222">
        <v>0</v>
      </c>
      <c r="E222">
        <v>1.361111111</v>
      </c>
      <c r="F222">
        <v>0.63932007499999999</v>
      </c>
      <c r="G222">
        <v>1</v>
      </c>
      <c r="H222">
        <v>3</v>
      </c>
      <c r="I222">
        <v>26</v>
      </c>
      <c r="J222">
        <v>7</v>
      </c>
      <c r="K222">
        <v>3</v>
      </c>
      <c r="O222">
        <v>0</v>
      </c>
    </row>
    <row r="223" spans="1:15" x14ac:dyDescent="0.35">
      <c r="A223" t="s">
        <v>451</v>
      </c>
      <c r="B223" t="s">
        <v>452</v>
      </c>
      <c r="C223">
        <v>36</v>
      </c>
      <c r="D223">
        <v>0</v>
      </c>
      <c r="E223">
        <v>1.7222222220000001</v>
      </c>
      <c r="F223">
        <v>0.77868427900000003</v>
      </c>
      <c r="G223">
        <v>1</v>
      </c>
      <c r="H223">
        <v>3</v>
      </c>
      <c r="I223">
        <v>17</v>
      </c>
      <c r="J223">
        <v>12</v>
      </c>
      <c r="K223">
        <v>7</v>
      </c>
      <c r="O223">
        <v>0</v>
      </c>
    </row>
    <row r="224" spans="1:15" x14ac:dyDescent="0.35">
      <c r="A224" t="s">
        <v>453</v>
      </c>
      <c r="B224" t="s">
        <v>454</v>
      </c>
      <c r="C224">
        <v>36</v>
      </c>
      <c r="D224">
        <v>0</v>
      </c>
      <c r="E224">
        <v>1.6944444439999999</v>
      </c>
      <c r="F224">
        <v>0.52478264600000002</v>
      </c>
      <c r="G224">
        <v>1</v>
      </c>
      <c r="H224">
        <v>3</v>
      </c>
      <c r="I224">
        <v>12</v>
      </c>
      <c r="J224">
        <v>23</v>
      </c>
      <c r="K224">
        <v>1</v>
      </c>
      <c r="O224">
        <v>0</v>
      </c>
    </row>
    <row r="225" spans="1:15" x14ac:dyDescent="0.35">
      <c r="A225" t="s">
        <v>455</v>
      </c>
      <c r="B225" t="s">
        <v>456</v>
      </c>
      <c r="C225">
        <v>36</v>
      </c>
      <c r="D225">
        <v>0</v>
      </c>
      <c r="E225">
        <v>1.1944444439999999</v>
      </c>
      <c r="F225">
        <v>0.467176592</v>
      </c>
      <c r="G225">
        <v>1</v>
      </c>
      <c r="H225">
        <v>3</v>
      </c>
      <c r="I225">
        <v>30</v>
      </c>
      <c r="J225">
        <v>5</v>
      </c>
      <c r="K225">
        <v>1</v>
      </c>
      <c r="O225">
        <v>0</v>
      </c>
    </row>
    <row r="226" spans="1:15" x14ac:dyDescent="0.35">
      <c r="A226" t="s">
        <v>457</v>
      </c>
      <c r="B226" t="s">
        <v>458</v>
      </c>
      <c r="C226">
        <v>36</v>
      </c>
      <c r="D226">
        <v>0</v>
      </c>
      <c r="E226">
        <v>1.5</v>
      </c>
      <c r="F226">
        <v>0.60944940000000003</v>
      </c>
      <c r="G226">
        <v>1</v>
      </c>
      <c r="H226">
        <v>3</v>
      </c>
      <c r="I226">
        <v>20</v>
      </c>
      <c r="J226">
        <v>14</v>
      </c>
      <c r="K226">
        <v>2</v>
      </c>
      <c r="O226">
        <v>0</v>
      </c>
    </row>
    <row r="227" spans="1:15" x14ac:dyDescent="0.35">
      <c r="A227" t="s">
        <v>459</v>
      </c>
      <c r="B227" t="s">
        <v>460</v>
      </c>
      <c r="C227">
        <v>36</v>
      </c>
      <c r="D227">
        <v>0</v>
      </c>
      <c r="E227">
        <v>1.9444444439999999</v>
      </c>
      <c r="F227">
        <v>0.58282290599999997</v>
      </c>
      <c r="G227">
        <v>1</v>
      </c>
      <c r="H227">
        <v>3</v>
      </c>
      <c r="I227">
        <v>7</v>
      </c>
      <c r="J227">
        <v>24</v>
      </c>
      <c r="K227">
        <v>5</v>
      </c>
      <c r="O227">
        <v>0</v>
      </c>
    </row>
    <row r="228" spans="1:15" x14ac:dyDescent="0.35">
      <c r="A228" t="s">
        <v>461</v>
      </c>
      <c r="B228" t="s">
        <v>462</v>
      </c>
      <c r="C228">
        <v>36</v>
      </c>
      <c r="D228">
        <v>0</v>
      </c>
      <c r="E228">
        <v>1.5555555560000001</v>
      </c>
      <c r="F228">
        <v>0.73463088700000001</v>
      </c>
      <c r="G228">
        <v>1</v>
      </c>
      <c r="H228">
        <v>3</v>
      </c>
      <c r="I228">
        <v>21</v>
      </c>
      <c r="J228">
        <v>10</v>
      </c>
      <c r="K228">
        <v>5</v>
      </c>
      <c r="O228">
        <v>0</v>
      </c>
    </row>
    <row r="229" spans="1:15" x14ac:dyDescent="0.35">
      <c r="A229" t="s">
        <v>463</v>
      </c>
      <c r="B229" t="s">
        <v>464</v>
      </c>
      <c r="C229">
        <v>36</v>
      </c>
      <c r="D229">
        <v>0</v>
      </c>
      <c r="E229">
        <v>1.861111111</v>
      </c>
      <c r="F229">
        <v>0.79831171099999998</v>
      </c>
      <c r="G229">
        <v>1</v>
      </c>
      <c r="H229">
        <v>3</v>
      </c>
      <c r="I229">
        <v>14</v>
      </c>
      <c r="J229">
        <v>13</v>
      </c>
      <c r="K229">
        <v>9</v>
      </c>
      <c r="O229">
        <v>0</v>
      </c>
    </row>
    <row r="230" spans="1:15" x14ac:dyDescent="0.35">
      <c r="A230" t="s">
        <v>465</v>
      </c>
      <c r="B230" t="s">
        <v>466</v>
      </c>
      <c r="C230">
        <v>36</v>
      </c>
      <c r="D230">
        <v>0</v>
      </c>
      <c r="E230">
        <v>1.9166666670000001</v>
      </c>
      <c r="F230">
        <v>0.69178857199999999</v>
      </c>
      <c r="G230">
        <v>1</v>
      </c>
      <c r="H230">
        <v>3</v>
      </c>
      <c r="I230">
        <v>10</v>
      </c>
      <c r="J230">
        <v>19</v>
      </c>
      <c r="K230">
        <v>7</v>
      </c>
      <c r="O230">
        <v>0</v>
      </c>
    </row>
    <row r="231" spans="1:15" x14ac:dyDescent="0.35">
      <c r="A231" t="s">
        <v>467</v>
      </c>
      <c r="B231" t="s">
        <v>468</v>
      </c>
      <c r="C231">
        <v>36</v>
      </c>
      <c r="D231">
        <v>0</v>
      </c>
      <c r="E231">
        <v>1.5</v>
      </c>
      <c r="F231">
        <v>0.810643483</v>
      </c>
      <c r="G231">
        <v>1</v>
      </c>
      <c r="H231">
        <v>3</v>
      </c>
      <c r="I231">
        <v>25</v>
      </c>
      <c r="J231">
        <v>4</v>
      </c>
      <c r="K231">
        <v>7</v>
      </c>
      <c r="O231">
        <v>0</v>
      </c>
    </row>
    <row r="232" spans="1:15" x14ac:dyDescent="0.35">
      <c r="A232" t="s">
        <v>469</v>
      </c>
      <c r="B232" t="s">
        <v>470</v>
      </c>
      <c r="C232">
        <v>36</v>
      </c>
      <c r="D232">
        <v>0</v>
      </c>
      <c r="E232">
        <v>1.9166666670000001</v>
      </c>
      <c r="F232">
        <v>0.87423435900000002</v>
      </c>
      <c r="G232">
        <v>1</v>
      </c>
      <c r="H232">
        <v>3</v>
      </c>
      <c r="I232">
        <v>15</v>
      </c>
      <c r="J232">
        <v>9</v>
      </c>
      <c r="K232">
        <v>12</v>
      </c>
      <c r="O232">
        <v>0</v>
      </c>
    </row>
    <row r="233" spans="1:15" x14ac:dyDescent="0.35">
      <c r="A233" t="s">
        <v>471</v>
      </c>
      <c r="B233" t="s">
        <v>472</v>
      </c>
      <c r="C233">
        <v>36</v>
      </c>
      <c r="D233">
        <v>0</v>
      </c>
      <c r="E233">
        <v>1.6666666670000001</v>
      </c>
      <c r="F233">
        <v>0.71713716599999999</v>
      </c>
      <c r="G233">
        <v>1</v>
      </c>
      <c r="H233">
        <v>3</v>
      </c>
      <c r="I233">
        <v>17</v>
      </c>
      <c r="J233">
        <v>14</v>
      </c>
      <c r="K233">
        <v>5</v>
      </c>
      <c r="O233">
        <v>0</v>
      </c>
    </row>
    <row r="234" spans="1:15" x14ac:dyDescent="0.35">
      <c r="A234" t="s">
        <v>473</v>
      </c>
      <c r="B234" t="s">
        <v>474</v>
      </c>
      <c r="C234">
        <v>36</v>
      </c>
      <c r="D234">
        <v>0</v>
      </c>
      <c r="E234">
        <v>1.4166666670000001</v>
      </c>
      <c r="F234">
        <v>0.69178857199999999</v>
      </c>
      <c r="G234">
        <v>1</v>
      </c>
      <c r="H234">
        <v>3</v>
      </c>
      <c r="I234">
        <v>25</v>
      </c>
      <c r="J234">
        <v>7</v>
      </c>
      <c r="K234">
        <v>4</v>
      </c>
      <c r="O234">
        <v>0</v>
      </c>
    </row>
    <row r="235" spans="1:15" x14ac:dyDescent="0.35">
      <c r="A235" t="s">
        <v>475</v>
      </c>
      <c r="B235" t="s">
        <v>476</v>
      </c>
      <c r="C235">
        <v>36</v>
      </c>
      <c r="D235">
        <v>0</v>
      </c>
      <c r="E235">
        <v>1.75</v>
      </c>
      <c r="F235">
        <v>0.64917530099999998</v>
      </c>
      <c r="G235">
        <v>1</v>
      </c>
      <c r="H235">
        <v>3</v>
      </c>
      <c r="I235">
        <v>13</v>
      </c>
      <c r="J235">
        <v>19</v>
      </c>
      <c r="K235">
        <v>4</v>
      </c>
      <c r="O235">
        <v>0</v>
      </c>
    </row>
    <row r="236" spans="1:15" x14ac:dyDescent="0.35">
      <c r="A236" t="s">
        <v>477</v>
      </c>
      <c r="B236" t="s">
        <v>478</v>
      </c>
      <c r="C236">
        <v>36</v>
      </c>
      <c r="D236">
        <v>0</v>
      </c>
      <c r="E236">
        <v>1.4444444439999999</v>
      </c>
      <c r="F236">
        <v>0.772544754</v>
      </c>
      <c r="G236">
        <v>1</v>
      </c>
      <c r="H236">
        <v>3</v>
      </c>
      <c r="I236">
        <v>26</v>
      </c>
      <c r="J236">
        <v>4</v>
      </c>
      <c r="K236">
        <v>6</v>
      </c>
      <c r="O236">
        <v>0</v>
      </c>
    </row>
    <row r="237" spans="1:15" x14ac:dyDescent="0.35">
      <c r="A237" t="s">
        <v>479</v>
      </c>
      <c r="B237" t="s">
        <v>480</v>
      </c>
      <c r="C237">
        <v>36</v>
      </c>
      <c r="D237">
        <v>0</v>
      </c>
      <c r="E237">
        <v>1.9722222220000001</v>
      </c>
      <c r="F237">
        <v>0.50630939799999997</v>
      </c>
      <c r="G237">
        <v>1</v>
      </c>
      <c r="H237">
        <v>3</v>
      </c>
      <c r="I237">
        <v>5</v>
      </c>
      <c r="J237">
        <v>27</v>
      </c>
      <c r="K237">
        <v>4</v>
      </c>
      <c r="O237">
        <v>0</v>
      </c>
    </row>
    <row r="238" spans="1:15" x14ac:dyDescent="0.35">
      <c r="A238" t="s">
        <v>481</v>
      </c>
      <c r="B238" t="s">
        <v>482</v>
      </c>
      <c r="C238">
        <v>36</v>
      </c>
      <c r="D238">
        <v>0</v>
      </c>
      <c r="E238">
        <v>1.861111111</v>
      </c>
      <c r="F238">
        <v>0.54262735299999998</v>
      </c>
      <c r="G238">
        <v>1</v>
      </c>
      <c r="H238">
        <v>3</v>
      </c>
      <c r="I238">
        <v>8</v>
      </c>
      <c r="J238">
        <v>25</v>
      </c>
      <c r="K238">
        <v>3</v>
      </c>
      <c r="O238">
        <v>0</v>
      </c>
    </row>
    <row r="239" spans="1:15" x14ac:dyDescent="0.35">
      <c r="A239" t="s">
        <v>483</v>
      </c>
      <c r="B239" t="s">
        <v>484</v>
      </c>
      <c r="C239">
        <v>36</v>
      </c>
      <c r="D239">
        <v>0</v>
      </c>
      <c r="E239">
        <v>2.1666666669999999</v>
      </c>
      <c r="F239">
        <v>0.56061191099999996</v>
      </c>
      <c r="G239">
        <v>1</v>
      </c>
      <c r="H239">
        <v>3</v>
      </c>
      <c r="I239">
        <v>3</v>
      </c>
      <c r="J239">
        <v>24</v>
      </c>
      <c r="K239">
        <v>9</v>
      </c>
      <c r="O239">
        <v>0</v>
      </c>
    </row>
    <row r="240" spans="1:15" x14ac:dyDescent="0.35">
      <c r="A240" t="s">
        <v>485</v>
      </c>
      <c r="B240" t="s">
        <v>486</v>
      </c>
      <c r="C240">
        <v>36</v>
      </c>
      <c r="D240">
        <v>0</v>
      </c>
      <c r="E240">
        <v>2.8055555559999998</v>
      </c>
      <c r="F240">
        <v>0.88864083800000004</v>
      </c>
      <c r="G240">
        <v>1</v>
      </c>
      <c r="H240">
        <v>5</v>
      </c>
      <c r="I240">
        <v>1</v>
      </c>
      <c r="J240">
        <v>14</v>
      </c>
      <c r="K240">
        <v>13</v>
      </c>
      <c r="L240">
        <v>7</v>
      </c>
      <c r="M240">
        <v>1</v>
      </c>
      <c r="O240">
        <v>0</v>
      </c>
    </row>
    <row r="241" spans="1:15" x14ac:dyDescent="0.35">
      <c r="A241" t="s">
        <v>487</v>
      </c>
      <c r="B241" t="s">
        <v>488</v>
      </c>
      <c r="C241">
        <v>36</v>
      </c>
      <c r="D241">
        <v>0</v>
      </c>
      <c r="E241">
        <v>1</v>
      </c>
      <c r="F241">
        <v>0</v>
      </c>
      <c r="G241">
        <v>1</v>
      </c>
      <c r="H241">
        <v>1</v>
      </c>
      <c r="I241">
        <v>36</v>
      </c>
      <c r="O241">
        <v>0</v>
      </c>
    </row>
    <row r="242" spans="1:15" x14ac:dyDescent="0.35">
      <c r="A242" t="s">
        <v>489</v>
      </c>
      <c r="B242" t="s">
        <v>490</v>
      </c>
      <c r="C242">
        <v>36</v>
      </c>
      <c r="D242">
        <v>0</v>
      </c>
      <c r="E242">
        <v>2</v>
      </c>
      <c r="F242">
        <v>0</v>
      </c>
      <c r="G242">
        <v>2</v>
      </c>
      <c r="H242">
        <v>2</v>
      </c>
      <c r="I242">
        <v>0</v>
      </c>
      <c r="J242">
        <v>36</v>
      </c>
      <c r="O242">
        <v>0</v>
      </c>
    </row>
    <row r="243" spans="1:15" x14ac:dyDescent="0.35">
      <c r="A243" t="s">
        <v>491</v>
      </c>
      <c r="B243" t="s">
        <v>492</v>
      </c>
      <c r="C243">
        <v>0</v>
      </c>
      <c r="D243">
        <v>0</v>
      </c>
    </row>
    <row r="244" spans="1:15" x14ac:dyDescent="0.35">
      <c r="A244" t="s">
        <v>493</v>
      </c>
      <c r="B244" t="s">
        <v>494</v>
      </c>
      <c r="C244">
        <v>36</v>
      </c>
      <c r="D244">
        <v>0</v>
      </c>
      <c r="E244">
        <v>2</v>
      </c>
      <c r="F244">
        <v>0</v>
      </c>
      <c r="G244">
        <v>2</v>
      </c>
      <c r="H244">
        <v>2</v>
      </c>
      <c r="I244">
        <v>0</v>
      </c>
      <c r="J244">
        <v>36</v>
      </c>
      <c r="O244">
        <v>0</v>
      </c>
    </row>
    <row r="245" spans="1:15" x14ac:dyDescent="0.35">
      <c r="A245" t="s">
        <v>495</v>
      </c>
      <c r="B245" t="s">
        <v>496</v>
      </c>
      <c r="C245">
        <v>36</v>
      </c>
      <c r="D245">
        <v>0</v>
      </c>
      <c r="E245">
        <v>1</v>
      </c>
      <c r="F245">
        <v>0</v>
      </c>
      <c r="G245">
        <v>1</v>
      </c>
      <c r="H245">
        <v>1</v>
      </c>
      <c r="I245">
        <v>36</v>
      </c>
      <c r="O245">
        <v>0</v>
      </c>
    </row>
    <row r="246" spans="1:15" x14ac:dyDescent="0.35">
      <c r="A246" t="s">
        <v>497</v>
      </c>
      <c r="B246" t="s">
        <v>498</v>
      </c>
      <c r="C246">
        <v>36</v>
      </c>
      <c r="D246">
        <v>0</v>
      </c>
      <c r="E246">
        <v>22</v>
      </c>
      <c r="F246">
        <v>0</v>
      </c>
      <c r="G246">
        <v>22</v>
      </c>
      <c r="H246">
        <v>22</v>
      </c>
      <c r="N246">
        <v>36</v>
      </c>
      <c r="O246">
        <v>0</v>
      </c>
    </row>
    <row r="247" spans="1:15" x14ac:dyDescent="0.35">
      <c r="A247" t="s">
        <v>499</v>
      </c>
      <c r="B247" t="s">
        <v>500</v>
      </c>
      <c r="C247">
        <v>36</v>
      </c>
      <c r="D247">
        <v>0</v>
      </c>
      <c r="E247">
        <v>22</v>
      </c>
      <c r="F247">
        <v>0</v>
      </c>
      <c r="G247">
        <v>22</v>
      </c>
      <c r="H247">
        <v>22</v>
      </c>
      <c r="N247">
        <v>36</v>
      </c>
      <c r="O247">
        <v>0</v>
      </c>
    </row>
  </sheetData>
  <autoFilter ref="A1:O247" xr:uid="{D364A041-D4C9-4F5F-AADF-C4557D328408}">
    <sortState xmlns:xlrd2="http://schemas.microsoft.com/office/spreadsheetml/2017/richdata2" ref="A11:O215">
      <sortCondition ref="A1:A247"/>
    </sortState>
  </autoFilter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0841-5989-457E-A3B1-D4C00371ABFE}">
  <dimension ref="A1:AE91"/>
  <sheetViews>
    <sheetView tabSelected="1" topLeftCell="C1" zoomScale="59" workbookViewId="0">
      <selection activeCell="N37" sqref="N37"/>
    </sheetView>
  </sheetViews>
  <sheetFormatPr baseColWidth="10" defaultRowHeight="14.5" x14ac:dyDescent="0.35"/>
  <cols>
    <col min="1" max="1" width="23.90625" bestFit="1" customWidth="1"/>
    <col min="4" max="4" width="12" bestFit="1" customWidth="1"/>
    <col min="6" max="6" width="14.1796875" bestFit="1" customWidth="1"/>
    <col min="7" max="7" width="11.36328125" bestFit="1" customWidth="1"/>
    <col min="13" max="13" width="16.08984375" bestFit="1" customWidth="1"/>
    <col min="16" max="17" width="11.36328125" bestFit="1" customWidth="1"/>
  </cols>
  <sheetData>
    <row r="1" spans="1:31" x14ac:dyDescent="0.35">
      <c r="F1" t="s">
        <v>519</v>
      </c>
    </row>
    <row r="3" spans="1:31" x14ac:dyDescent="0.35">
      <c r="A3" t="s">
        <v>507</v>
      </c>
      <c r="D3" t="s">
        <v>505</v>
      </c>
      <c r="F3" t="s">
        <v>521</v>
      </c>
      <c r="G3" s="1">
        <v>3.7499888888888888</v>
      </c>
      <c r="N3" t="s">
        <v>519</v>
      </c>
      <c r="P3" t="s">
        <v>5</v>
      </c>
    </row>
    <row r="4" spans="1:31" x14ac:dyDescent="0.35">
      <c r="B4" t="s">
        <v>503</v>
      </c>
      <c r="C4">
        <v>40.5002</v>
      </c>
      <c r="F4" t="s">
        <v>522</v>
      </c>
      <c r="G4" s="1">
        <v>3.7608024692222224</v>
      </c>
      <c r="N4" t="s">
        <v>521</v>
      </c>
      <c r="O4" t="s">
        <v>522</v>
      </c>
      <c r="P4" t="s">
        <v>521</v>
      </c>
      <c r="Q4" t="s">
        <v>522</v>
      </c>
    </row>
    <row r="5" spans="1:31" x14ac:dyDescent="0.35">
      <c r="B5" t="s">
        <v>504</v>
      </c>
      <c r="C5">
        <v>2.2500111111111112</v>
      </c>
      <c r="D5">
        <v>3.7499888888888888</v>
      </c>
      <c r="M5" t="s">
        <v>520</v>
      </c>
      <c r="N5" s="1">
        <v>4.0385802467777774</v>
      </c>
      <c r="O5" s="1">
        <v>3.5895061727777779</v>
      </c>
      <c r="P5" s="1">
        <v>0.96252564511111116</v>
      </c>
      <c r="Q5" s="1">
        <v>1.1147135700555557</v>
      </c>
    </row>
    <row r="6" spans="1:31" x14ac:dyDescent="0.35">
      <c r="M6" t="s">
        <v>523</v>
      </c>
      <c r="N6" s="1">
        <v>4.0493827158888891</v>
      </c>
      <c r="O6" s="1">
        <v>3.8950617283333333</v>
      </c>
      <c r="P6" s="1">
        <v>0.81976280883333319</v>
      </c>
      <c r="Q6" s="1">
        <v>0.89652429411111123</v>
      </c>
    </row>
    <row r="7" spans="1:31" x14ac:dyDescent="0.35">
      <c r="B7" t="s">
        <v>502</v>
      </c>
      <c r="C7">
        <v>16.435670835</v>
      </c>
      <c r="M7" t="s">
        <v>525</v>
      </c>
      <c r="N7" s="1">
        <v>3.7839506172222221</v>
      </c>
      <c r="O7" s="1">
        <v>3.7145061727777775</v>
      </c>
      <c r="P7" s="1">
        <v>0.95042067666666652</v>
      </c>
      <c r="Q7" s="1">
        <v>0.94751861055555553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35">
      <c r="B8" t="s">
        <v>501</v>
      </c>
      <c r="C8">
        <v>0.91309282416666671</v>
      </c>
      <c r="M8" t="s">
        <v>526</v>
      </c>
      <c r="N8" s="1">
        <v>3.8395061727222219</v>
      </c>
      <c r="O8" s="1">
        <v>3.7962962962222222</v>
      </c>
      <c r="P8" s="1">
        <v>0.95160786011111098</v>
      </c>
      <c r="Q8" s="1">
        <v>1.0105762509444447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x14ac:dyDescent="0.35">
      <c r="M9" t="s">
        <v>506</v>
      </c>
      <c r="N9" s="1">
        <v>3.7499888888888888</v>
      </c>
      <c r="O9" s="1">
        <v>3.7608024692222224</v>
      </c>
      <c r="P9" s="1">
        <v>0.91309282416666671</v>
      </c>
      <c r="Q9" s="1">
        <v>0.97112213883333331</v>
      </c>
    </row>
    <row r="10" spans="1:31" x14ac:dyDescent="0.35">
      <c r="A10" t="s">
        <v>508</v>
      </c>
      <c r="D10" t="s">
        <v>505</v>
      </c>
      <c r="M10" t="s">
        <v>524</v>
      </c>
      <c r="N10" s="1">
        <v>3.7253086419444443</v>
      </c>
      <c r="O10" s="1">
        <v>3.7253086419444443</v>
      </c>
      <c r="P10" s="1">
        <v>0.99061995944444448</v>
      </c>
      <c r="Q10" s="1">
        <v>0.97507508238888896</v>
      </c>
    </row>
    <row r="11" spans="1:31" x14ac:dyDescent="0.35">
      <c r="B11" t="s">
        <v>503</v>
      </c>
      <c r="C11">
        <v>40.305555553999994</v>
      </c>
    </row>
    <row r="12" spans="1:31" x14ac:dyDescent="0.35">
      <c r="B12" t="s">
        <v>504</v>
      </c>
      <c r="C12">
        <v>2.2391975307777776</v>
      </c>
      <c r="D12">
        <v>3.7608024692222224</v>
      </c>
    </row>
    <row r="14" spans="1:31" x14ac:dyDescent="0.35">
      <c r="B14" t="s">
        <v>502</v>
      </c>
      <c r="C14">
        <v>17.480198499</v>
      </c>
    </row>
    <row r="15" spans="1:31" x14ac:dyDescent="0.35">
      <c r="B15" t="s">
        <v>501</v>
      </c>
      <c r="C15">
        <v>0.97112213883333331</v>
      </c>
    </row>
    <row r="17" spans="1:7" x14ac:dyDescent="0.35">
      <c r="A17" t="s">
        <v>509</v>
      </c>
      <c r="D17" t="s">
        <v>505</v>
      </c>
      <c r="F17" t="s">
        <v>521</v>
      </c>
      <c r="G17" s="1">
        <v>4.0493827158888891</v>
      </c>
    </row>
    <row r="18" spans="1:7" x14ac:dyDescent="0.35">
      <c r="B18" t="s">
        <v>503</v>
      </c>
      <c r="C18">
        <v>35.111111114000003</v>
      </c>
      <c r="F18" t="s">
        <v>522</v>
      </c>
      <c r="G18" s="1">
        <v>3.8950617283333333</v>
      </c>
    </row>
    <row r="19" spans="1:7" x14ac:dyDescent="0.35">
      <c r="B19" t="s">
        <v>504</v>
      </c>
      <c r="C19">
        <v>1.9506172841111113</v>
      </c>
      <c r="D19">
        <v>4.0493827158888891</v>
      </c>
    </row>
    <row r="21" spans="1:7" x14ac:dyDescent="0.35">
      <c r="B21" t="s">
        <v>502</v>
      </c>
      <c r="C21">
        <v>14.755730558999998</v>
      </c>
    </row>
    <row r="22" spans="1:7" x14ac:dyDescent="0.35">
      <c r="B22" t="s">
        <v>501</v>
      </c>
      <c r="C22">
        <v>0.81976280883333319</v>
      </c>
    </row>
    <row r="24" spans="1:7" x14ac:dyDescent="0.35">
      <c r="A24" t="s">
        <v>510</v>
      </c>
      <c r="D24" t="s">
        <v>505</v>
      </c>
    </row>
    <row r="25" spans="1:7" x14ac:dyDescent="0.35">
      <c r="B25" t="s">
        <v>503</v>
      </c>
      <c r="C25">
        <v>37.888888889999997</v>
      </c>
    </row>
    <row r="26" spans="1:7" x14ac:dyDescent="0.35">
      <c r="B26" t="s">
        <v>504</v>
      </c>
      <c r="C26">
        <v>2.1049382716666667</v>
      </c>
      <c r="D26">
        <v>3.8950617283333333</v>
      </c>
    </row>
    <row r="28" spans="1:7" x14ac:dyDescent="0.35">
      <c r="B28" t="s">
        <v>502</v>
      </c>
      <c r="C28">
        <v>16.137437294000001</v>
      </c>
    </row>
    <row r="29" spans="1:7" x14ac:dyDescent="0.35">
      <c r="B29" t="s">
        <v>501</v>
      </c>
      <c r="C29">
        <v>0.89652429411111123</v>
      </c>
    </row>
    <row r="31" spans="1:7" x14ac:dyDescent="0.35">
      <c r="A31" t="s">
        <v>511</v>
      </c>
      <c r="D31" t="s">
        <v>505</v>
      </c>
      <c r="F31" t="s">
        <v>521</v>
      </c>
      <c r="G31" s="1">
        <v>3.7253086419444443</v>
      </c>
    </row>
    <row r="32" spans="1:7" x14ac:dyDescent="0.35">
      <c r="B32" t="s">
        <v>503</v>
      </c>
      <c r="C32">
        <v>40.944444445000002</v>
      </c>
      <c r="F32" t="s">
        <v>522</v>
      </c>
      <c r="G32" s="1">
        <v>3.7314814815555559</v>
      </c>
    </row>
    <row r="33" spans="1:7" x14ac:dyDescent="0.35">
      <c r="B33" t="s">
        <v>504</v>
      </c>
      <c r="C33">
        <v>2.2746913580555557</v>
      </c>
      <c r="D33">
        <v>3.7253086419444443</v>
      </c>
    </row>
    <row r="35" spans="1:7" x14ac:dyDescent="0.35">
      <c r="B35" t="s">
        <v>502</v>
      </c>
      <c r="C35">
        <v>17.831159270000001</v>
      </c>
    </row>
    <row r="36" spans="1:7" x14ac:dyDescent="0.35">
      <c r="B36" t="s">
        <v>501</v>
      </c>
      <c r="C36">
        <v>0.99061995944444448</v>
      </c>
    </row>
    <row r="38" spans="1:7" x14ac:dyDescent="0.35">
      <c r="A38" t="s">
        <v>512</v>
      </c>
    </row>
    <row r="39" spans="1:7" x14ac:dyDescent="0.35">
      <c r="D39" t="s">
        <v>505</v>
      </c>
    </row>
    <row r="40" spans="1:7" x14ac:dyDescent="0.35">
      <c r="B40" t="s">
        <v>503</v>
      </c>
      <c r="C40">
        <v>40.833333331999995</v>
      </c>
    </row>
    <row r="41" spans="1:7" x14ac:dyDescent="0.35">
      <c r="B41" t="s">
        <v>504</v>
      </c>
      <c r="C41">
        <v>2.2685185184444441</v>
      </c>
      <c r="D41">
        <v>3.7314814815555559</v>
      </c>
    </row>
    <row r="43" spans="1:7" x14ac:dyDescent="0.35">
      <c r="B43" t="s">
        <v>502</v>
      </c>
      <c r="C43">
        <v>17.551351483000001</v>
      </c>
    </row>
    <row r="44" spans="1:7" x14ac:dyDescent="0.35">
      <c r="B44" t="s">
        <v>501</v>
      </c>
      <c r="C44">
        <v>0.97507508238888896</v>
      </c>
    </row>
    <row r="46" spans="1:7" x14ac:dyDescent="0.35">
      <c r="A46" t="s">
        <v>515</v>
      </c>
      <c r="D46" t="s">
        <v>505</v>
      </c>
      <c r="F46" t="s">
        <v>521</v>
      </c>
      <c r="G46" s="1">
        <v>3.7839506172222221</v>
      </c>
    </row>
    <row r="47" spans="1:7" x14ac:dyDescent="0.35">
      <c r="B47" t="s">
        <v>503</v>
      </c>
      <c r="C47">
        <v>39.888888890000004</v>
      </c>
      <c r="F47" t="s">
        <v>522</v>
      </c>
      <c r="G47" s="1">
        <v>3.7145061727777775</v>
      </c>
    </row>
    <row r="48" spans="1:7" x14ac:dyDescent="0.35">
      <c r="B48" t="s">
        <v>504</v>
      </c>
      <c r="C48">
        <v>2.2160493827777779</v>
      </c>
      <c r="D48">
        <v>3.7839506172222221</v>
      </c>
    </row>
    <row r="50" spans="1:7" x14ac:dyDescent="0.35">
      <c r="B50" t="s">
        <v>502</v>
      </c>
      <c r="C50">
        <v>17.107572179999998</v>
      </c>
    </row>
    <row r="51" spans="1:7" x14ac:dyDescent="0.35">
      <c r="B51" t="s">
        <v>501</v>
      </c>
      <c r="C51">
        <v>0.95042067666666652</v>
      </c>
    </row>
    <row r="53" spans="1:7" x14ac:dyDescent="0.35">
      <c r="A53" t="s">
        <v>516</v>
      </c>
    </row>
    <row r="54" spans="1:7" x14ac:dyDescent="0.35">
      <c r="D54" t="s">
        <v>505</v>
      </c>
    </row>
    <row r="55" spans="1:7" x14ac:dyDescent="0.35">
      <c r="B55" t="s">
        <v>503</v>
      </c>
      <c r="C55">
        <v>41.138888890000004</v>
      </c>
    </row>
    <row r="56" spans="1:7" x14ac:dyDescent="0.35">
      <c r="B56" t="s">
        <v>504</v>
      </c>
      <c r="C56">
        <v>2.2854938272222225</v>
      </c>
      <c r="D56">
        <v>3.7145061727777775</v>
      </c>
    </row>
    <row r="58" spans="1:7" x14ac:dyDescent="0.35">
      <c r="B58" t="s">
        <v>502</v>
      </c>
      <c r="C58">
        <v>17.055334989999999</v>
      </c>
    </row>
    <row r="59" spans="1:7" x14ac:dyDescent="0.35">
      <c r="B59" t="s">
        <v>501</v>
      </c>
      <c r="C59">
        <v>0.94751861055555553</v>
      </c>
    </row>
    <row r="61" spans="1:7" x14ac:dyDescent="0.35">
      <c r="A61" t="s">
        <v>517</v>
      </c>
      <c r="F61" t="s">
        <v>521</v>
      </c>
      <c r="G61" s="1">
        <v>3.8395061727222219</v>
      </c>
    </row>
    <row r="62" spans="1:7" x14ac:dyDescent="0.35">
      <c r="D62" t="s">
        <v>505</v>
      </c>
      <c r="F62" t="s">
        <v>522</v>
      </c>
      <c r="G62" s="1">
        <v>3.7962962962222222</v>
      </c>
    </row>
    <row r="63" spans="1:7" x14ac:dyDescent="0.35">
      <c r="B63" t="s">
        <v>503</v>
      </c>
      <c r="C63">
        <v>38.888888891000008</v>
      </c>
    </row>
    <row r="64" spans="1:7" x14ac:dyDescent="0.35">
      <c r="B64" t="s">
        <v>504</v>
      </c>
      <c r="C64">
        <v>2.1604938272777781</v>
      </c>
      <c r="D64">
        <v>3.8395061727222219</v>
      </c>
    </row>
    <row r="66" spans="1:7" x14ac:dyDescent="0.35">
      <c r="B66" t="s">
        <v>502</v>
      </c>
      <c r="C66">
        <v>17.128941481999998</v>
      </c>
    </row>
    <row r="67" spans="1:7" x14ac:dyDescent="0.35">
      <c r="B67" t="s">
        <v>501</v>
      </c>
      <c r="C67">
        <v>0.95160786011111098</v>
      </c>
    </row>
    <row r="69" spans="1:7" x14ac:dyDescent="0.35">
      <c r="A69" t="s">
        <v>518</v>
      </c>
    </row>
    <row r="70" spans="1:7" x14ac:dyDescent="0.35">
      <c r="D70" t="s">
        <v>505</v>
      </c>
    </row>
    <row r="71" spans="1:7" x14ac:dyDescent="0.35">
      <c r="B71" t="s">
        <v>503</v>
      </c>
      <c r="C71">
        <v>39.666666667999998</v>
      </c>
    </row>
    <row r="72" spans="1:7" x14ac:dyDescent="0.35">
      <c r="B72" t="s">
        <v>504</v>
      </c>
      <c r="C72">
        <v>2.2037037037777778</v>
      </c>
      <c r="D72">
        <v>3.7962962962222222</v>
      </c>
    </row>
    <row r="74" spans="1:7" x14ac:dyDescent="0.35">
      <c r="B74" t="s">
        <v>502</v>
      </c>
      <c r="C74">
        <v>18.190372517000004</v>
      </c>
    </row>
    <row r="75" spans="1:7" x14ac:dyDescent="0.35">
      <c r="B75" t="s">
        <v>501</v>
      </c>
      <c r="C75">
        <v>1.0105762509444447</v>
      </c>
    </row>
    <row r="77" spans="1:7" x14ac:dyDescent="0.35">
      <c r="A77" t="s">
        <v>513</v>
      </c>
      <c r="F77" t="s">
        <v>521</v>
      </c>
      <c r="G77" s="1">
        <v>4.0385802467777774</v>
      </c>
    </row>
    <row r="78" spans="1:7" x14ac:dyDescent="0.35">
      <c r="D78" t="s">
        <v>505</v>
      </c>
      <c r="F78" t="s">
        <v>522</v>
      </c>
      <c r="G78" s="1">
        <v>3.5895061727777779</v>
      </c>
    </row>
    <row r="79" spans="1:7" x14ac:dyDescent="0.35">
      <c r="B79" t="s">
        <v>503</v>
      </c>
      <c r="C79">
        <v>35.305555558000002</v>
      </c>
    </row>
    <row r="80" spans="1:7" x14ac:dyDescent="0.35">
      <c r="B80" t="s">
        <v>504</v>
      </c>
      <c r="C80">
        <v>1.9614197532222224</v>
      </c>
      <c r="D80">
        <v>4.0385802467777774</v>
      </c>
    </row>
    <row r="82" spans="1:4" x14ac:dyDescent="0.35">
      <c r="B82" t="s">
        <v>502</v>
      </c>
      <c r="C82">
        <v>17.325461612000002</v>
      </c>
    </row>
    <row r="83" spans="1:4" x14ac:dyDescent="0.35">
      <c r="B83" t="s">
        <v>501</v>
      </c>
      <c r="C83">
        <v>0.96252564511111116</v>
      </c>
    </row>
    <row r="85" spans="1:4" x14ac:dyDescent="0.35">
      <c r="A85" t="s">
        <v>514</v>
      </c>
    </row>
    <row r="86" spans="1:4" x14ac:dyDescent="0.35">
      <c r="D86" t="s">
        <v>505</v>
      </c>
    </row>
    <row r="87" spans="1:4" x14ac:dyDescent="0.35">
      <c r="B87" t="s">
        <v>503</v>
      </c>
      <c r="C87">
        <v>43.388888889999997</v>
      </c>
    </row>
    <row r="88" spans="1:4" x14ac:dyDescent="0.35">
      <c r="B88" t="s">
        <v>504</v>
      </c>
      <c r="C88">
        <v>2.4104938272222221</v>
      </c>
      <c r="D88">
        <v>3.5895061727777779</v>
      </c>
    </row>
    <row r="90" spans="1:4" x14ac:dyDescent="0.35">
      <c r="B90" t="s">
        <v>502</v>
      </c>
      <c r="C90">
        <v>20.064844261000001</v>
      </c>
    </row>
    <row r="91" spans="1:4" x14ac:dyDescent="0.35">
      <c r="B91" t="s">
        <v>501</v>
      </c>
      <c r="C91">
        <v>1.1147135700555557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1EFA-35C4-4C8C-950E-A568A2244AA9}">
  <dimension ref="A1:P27"/>
  <sheetViews>
    <sheetView zoomScale="87" zoomScaleNormal="70" workbookViewId="0">
      <selection activeCell="C22" sqref="C22:C23"/>
    </sheetView>
  </sheetViews>
  <sheetFormatPr baseColWidth="10" defaultRowHeight="14.5" x14ac:dyDescent="0.35"/>
  <cols>
    <col min="5" max="5" width="12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505</v>
      </c>
      <c r="F1" t="s">
        <v>4</v>
      </c>
      <c r="G1" t="s">
        <v>5</v>
      </c>
      <c r="H1" t="s">
        <v>6</v>
      </c>
      <c r="I1" t="s">
        <v>7</v>
      </c>
      <c r="J1">
        <v>1</v>
      </c>
      <c r="K1">
        <v>2</v>
      </c>
      <c r="L1">
        <v>3</v>
      </c>
      <c r="M1">
        <v>4</v>
      </c>
      <c r="N1">
        <v>5</v>
      </c>
      <c r="O1">
        <v>22</v>
      </c>
      <c r="P1" t="s">
        <v>8</v>
      </c>
    </row>
    <row r="2" spans="1:16" x14ac:dyDescent="0.35">
      <c r="A2" t="s">
        <v>15</v>
      </c>
      <c r="B2" t="s">
        <v>16</v>
      </c>
      <c r="C2">
        <v>36</v>
      </c>
      <c r="D2">
        <v>0</v>
      </c>
      <c r="E2">
        <f>6-F2</f>
        <v>3.1943999999999999</v>
      </c>
      <c r="F2">
        <v>2.8056000000000001</v>
      </c>
      <c r="G2">
        <v>1.037013416</v>
      </c>
      <c r="H2">
        <v>1</v>
      </c>
      <c r="I2">
        <v>5</v>
      </c>
      <c r="J2">
        <v>3</v>
      </c>
      <c r="K2">
        <v>12</v>
      </c>
      <c r="L2">
        <v>12</v>
      </c>
      <c r="M2">
        <v>7</v>
      </c>
      <c r="N2">
        <v>2</v>
      </c>
      <c r="P2">
        <v>0</v>
      </c>
    </row>
    <row r="3" spans="1:16" x14ac:dyDescent="0.35">
      <c r="A3" t="s">
        <v>51</v>
      </c>
      <c r="B3" t="s">
        <v>52</v>
      </c>
      <c r="C3">
        <v>36</v>
      </c>
      <c r="D3">
        <v>0</v>
      </c>
      <c r="E3">
        <f>6-F3</f>
        <v>3.0278</v>
      </c>
      <c r="F3">
        <v>2.9722</v>
      </c>
      <c r="G3">
        <v>1.319872529</v>
      </c>
      <c r="H3">
        <v>1</v>
      </c>
      <c r="I3">
        <v>5</v>
      </c>
      <c r="J3">
        <v>5</v>
      </c>
      <c r="K3">
        <v>10</v>
      </c>
      <c r="L3">
        <v>8</v>
      </c>
      <c r="M3">
        <v>7</v>
      </c>
      <c r="N3">
        <v>6</v>
      </c>
      <c r="P3">
        <v>0</v>
      </c>
    </row>
    <row r="4" spans="1:16" x14ac:dyDescent="0.35">
      <c r="A4" t="s">
        <v>65</v>
      </c>
      <c r="B4" t="s">
        <v>66</v>
      </c>
      <c r="C4">
        <v>36</v>
      </c>
      <c r="D4">
        <v>0</v>
      </c>
      <c r="E4" s="3">
        <f t="shared" ref="E4:E19" si="0">6-F4</f>
        <v>2.8611</v>
      </c>
      <c r="F4">
        <v>3.1389</v>
      </c>
      <c r="G4">
        <v>1.1988751339999999</v>
      </c>
      <c r="H4">
        <v>1</v>
      </c>
      <c r="I4">
        <v>5</v>
      </c>
      <c r="J4">
        <v>4</v>
      </c>
      <c r="K4">
        <v>8</v>
      </c>
      <c r="L4">
        <v>6</v>
      </c>
      <c r="M4">
        <v>15</v>
      </c>
      <c r="N4">
        <v>3</v>
      </c>
      <c r="P4">
        <v>0</v>
      </c>
    </row>
    <row r="5" spans="1:16" x14ac:dyDescent="0.35">
      <c r="A5" t="s">
        <v>101</v>
      </c>
      <c r="B5" t="s">
        <v>102</v>
      </c>
      <c r="C5">
        <v>36</v>
      </c>
      <c r="D5">
        <v>0</v>
      </c>
      <c r="E5" s="3">
        <f t="shared" si="0"/>
        <v>4.3332999999999995</v>
      </c>
      <c r="F5">
        <v>1.6667000000000001</v>
      </c>
      <c r="G5">
        <v>0.63245553200000004</v>
      </c>
      <c r="H5">
        <v>1</v>
      </c>
      <c r="I5">
        <v>4</v>
      </c>
      <c r="J5">
        <v>14</v>
      </c>
      <c r="K5">
        <v>21</v>
      </c>
      <c r="L5">
        <v>0</v>
      </c>
      <c r="M5">
        <v>1</v>
      </c>
      <c r="N5">
        <v>0</v>
      </c>
      <c r="P5">
        <v>0</v>
      </c>
    </row>
    <row r="6" spans="1:16" x14ac:dyDescent="0.35">
      <c r="A6" t="s">
        <v>137</v>
      </c>
      <c r="B6" t="s">
        <v>138</v>
      </c>
      <c r="C6">
        <v>36</v>
      </c>
      <c r="D6">
        <v>0</v>
      </c>
      <c r="E6" s="2">
        <f t="shared" si="0"/>
        <v>2.5278</v>
      </c>
      <c r="F6">
        <v>3.4722</v>
      </c>
      <c r="G6">
        <v>1.1584746400000001</v>
      </c>
      <c r="H6">
        <v>1</v>
      </c>
      <c r="I6">
        <v>5</v>
      </c>
      <c r="J6">
        <v>2</v>
      </c>
      <c r="K6">
        <v>7</v>
      </c>
      <c r="L6">
        <v>5</v>
      </c>
      <c r="M6">
        <v>16</v>
      </c>
      <c r="N6">
        <v>6</v>
      </c>
      <c r="P6">
        <v>0</v>
      </c>
    </row>
    <row r="7" spans="1:16" x14ac:dyDescent="0.35">
      <c r="A7" t="s">
        <v>149</v>
      </c>
      <c r="B7" t="s">
        <v>150</v>
      </c>
      <c r="C7">
        <v>36</v>
      </c>
      <c r="D7">
        <v>0</v>
      </c>
      <c r="E7" s="4">
        <f t="shared" si="0"/>
        <v>4.5278</v>
      </c>
      <c r="F7">
        <v>1.4722</v>
      </c>
      <c r="G7">
        <v>0.55990362000000005</v>
      </c>
      <c r="H7">
        <v>1</v>
      </c>
      <c r="I7">
        <v>3</v>
      </c>
      <c r="J7">
        <v>20</v>
      </c>
      <c r="K7">
        <v>15</v>
      </c>
      <c r="L7">
        <v>1</v>
      </c>
      <c r="M7">
        <v>0</v>
      </c>
      <c r="N7">
        <v>0</v>
      </c>
      <c r="P7">
        <v>0</v>
      </c>
    </row>
    <row r="8" spans="1:16" x14ac:dyDescent="0.35">
      <c r="A8" t="s">
        <v>185</v>
      </c>
      <c r="B8" t="s">
        <v>186</v>
      </c>
      <c r="C8">
        <v>36</v>
      </c>
      <c r="D8">
        <v>0</v>
      </c>
      <c r="E8">
        <f t="shared" si="0"/>
        <v>4.2778</v>
      </c>
      <c r="F8">
        <v>1.7222</v>
      </c>
      <c r="G8">
        <v>0.70147237399999995</v>
      </c>
      <c r="H8">
        <v>1</v>
      </c>
      <c r="I8">
        <v>4</v>
      </c>
      <c r="J8">
        <v>14</v>
      </c>
      <c r="K8">
        <v>19</v>
      </c>
      <c r="L8">
        <v>2</v>
      </c>
      <c r="M8">
        <v>1</v>
      </c>
      <c r="N8">
        <v>0</v>
      </c>
      <c r="P8">
        <v>0</v>
      </c>
    </row>
    <row r="9" spans="1:16" x14ac:dyDescent="0.35">
      <c r="A9" t="s">
        <v>197</v>
      </c>
      <c r="B9" t="s">
        <v>198</v>
      </c>
      <c r="C9">
        <v>36</v>
      </c>
      <c r="D9">
        <v>0</v>
      </c>
      <c r="E9">
        <f t="shared" si="0"/>
        <v>3.1943999999999999</v>
      </c>
      <c r="F9">
        <v>2.8056000000000001</v>
      </c>
      <c r="G9">
        <v>1.190904685</v>
      </c>
      <c r="H9">
        <v>1</v>
      </c>
      <c r="I9">
        <v>5</v>
      </c>
      <c r="J9">
        <v>5</v>
      </c>
      <c r="K9">
        <v>12</v>
      </c>
      <c r="L9">
        <v>6</v>
      </c>
      <c r="M9">
        <v>11</v>
      </c>
      <c r="N9">
        <v>2</v>
      </c>
      <c r="P9">
        <v>0</v>
      </c>
    </row>
    <row r="10" spans="1:16" x14ac:dyDescent="0.35">
      <c r="A10" t="s">
        <v>233</v>
      </c>
      <c r="B10" t="s">
        <v>234</v>
      </c>
      <c r="C10">
        <v>36</v>
      </c>
      <c r="D10">
        <v>0</v>
      </c>
      <c r="E10">
        <f t="shared" si="0"/>
        <v>4.3611000000000004</v>
      </c>
      <c r="F10">
        <v>1.6389</v>
      </c>
      <c r="G10">
        <v>0.68254891100000004</v>
      </c>
      <c r="H10">
        <v>1</v>
      </c>
      <c r="I10">
        <v>4</v>
      </c>
      <c r="J10">
        <v>16</v>
      </c>
      <c r="K10">
        <v>18</v>
      </c>
      <c r="L10">
        <v>1</v>
      </c>
      <c r="M10">
        <v>1</v>
      </c>
      <c r="N10">
        <v>0</v>
      </c>
      <c r="P10">
        <v>0</v>
      </c>
    </row>
    <row r="11" spans="1:16" x14ac:dyDescent="0.35">
      <c r="A11" t="s">
        <v>245</v>
      </c>
      <c r="B11" t="s">
        <v>246</v>
      </c>
      <c r="C11">
        <v>36</v>
      </c>
      <c r="D11">
        <v>0</v>
      </c>
      <c r="E11">
        <f t="shared" si="0"/>
        <v>4.4443999999999999</v>
      </c>
      <c r="F11">
        <v>1.5556000000000001</v>
      </c>
      <c r="G11">
        <v>0.65222452099999995</v>
      </c>
      <c r="H11">
        <v>1</v>
      </c>
      <c r="I11">
        <v>3</v>
      </c>
      <c r="J11">
        <v>19</v>
      </c>
      <c r="K11">
        <v>14</v>
      </c>
      <c r="L11">
        <v>3</v>
      </c>
      <c r="M11">
        <v>0</v>
      </c>
      <c r="N11">
        <v>0</v>
      </c>
      <c r="P11">
        <v>0</v>
      </c>
    </row>
    <row r="12" spans="1:16" x14ac:dyDescent="0.35">
      <c r="A12" t="s">
        <v>269</v>
      </c>
      <c r="B12" t="s">
        <v>270</v>
      </c>
      <c r="C12">
        <v>36</v>
      </c>
      <c r="D12">
        <v>0</v>
      </c>
      <c r="E12">
        <f t="shared" si="0"/>
        <v>4.1943999999999999</v>
      </c>
      <c r="F12">
        <v>1.8056000000000001</v>
      </c>
      <c r="G12">
        <v>0.82182530099999995</v>
      </c>
      <c r="H12">
        <v>1</v>
      </c>
      <c r="I12">
        <v>4</v>
      </c>
      <c r="J12">
        <v>14</v>
      </c>
      <c r="K12">
        <v>17</v>
      </c>
      <c r="L12">
        <v>3</v>
      </c>
      <c r="M12">
        <v>2</v>
      </c>
      <c r="N12">
        <v>0</v>
      </c>
      <c r="P12">
        <v>0</v>
      </c>
    </row>
    <row r="13" spans="1:16" x14ac:dyDescent="0.35">
      <c r="A13" t="s">
        <v>293</v>
      </c>
      <c r="B13" t="s">
        <v>294</v>
      </c>
      <c r="C13">
        <v>36</v>
      </c>
      <c r="D13">
        <v>0</v>
      </c>
      <c r="E13">
        <f t="shared" si="0"/>
        <v>3.9722</v>
      </c>
      <c r="F13">
        <v>2.0278</v>
      </c>
      <c r="G13">
        <v>0.90982293800000003</v>
      </c>
      <c r="H13">
        <v>1</v>
      </c>
      <c r="I13">
        <v>4</v>
      </c>
      <c r="J13">
        <v>11</v>
      </c>
      <c r="K13">
        <v>16</v>
      </c>
      <c r="L13">
        <v>6</v>
      </c>
      <c r="M13">
        <v>3</v>
      </c>
      <c r="N13">
        <v>0</v>
      </c>
      <c r="P13">
        <v>0</v>
      </c>
    </row>
    <row r="14" spans="1:16" x14ac:dyDescent="0.35">
      <c r="A14" t="s">
        <v>305</v>
      </c>
      <c r="B14" t="s">
        <v>306</v>
      </c>
      <c r="C14">
        <v>36</v>
      </c>
      <c r="D14">
        <v>0</v>
      </c>
      <c r="E14">
        <f t="shared" si="0"/>
        <v>3.6111</v>
      </c>
      <c r="F14">
        <v>2.3889</v>
      </c>
      <c r="G14">
        <v>0.96444737000000003</v>
      </c>
      <c r="H14">
        <v>1</v>
      </c>
      <c r="I14">
        <v>4</v>
      </c>
      <c r="J14">
        <v>6</v>
      </c>
      <c r="K14">
        <v>16</v>
      </c>
      <c r="L14">
        <v>8</v>
      </c>
      <c r="M14">
        <v>6</v>
      </c>
      <c r="N14">
        <v>0</v>
      </c>
      <c r="P14">
        <v>0</v>
      </c>
    </row>
    <row r="15" spans="1:16" x14ac:dyDescent="0.35">
      <c r="A15" t="s">
        <v>341</v>
      </c>
      <c r="B15" t="s">
        <v>342</v>
      </c>
      <c r="C15">
        <v>36</v>
      </c>
      <c r="D15">
        <v>0</v>
      </c>
      <c r="E15">
        <f t="shared" si="0"/>
        <v>3.2222</v>
      </c>
      <c r="F15">
        <v>2.7778</v>
      </c>
      <c r="G15">
        <v>0.95949722299999995</v>
      </c>
      <c r="H15">
        <v>1</v>
      </c>
      <c r="I15">
        <v>5</v>
      </c>
      <c r="J15">
        <v>2</v>
      </c>
      <c r="K15">
        <v>14</v>
      </c>
      <c r="L15">
        <v>11</v>
      </c>
      <c r="M15">
        <v>8</v>
      </c>
      <c r="N15">
        <v>1</v>
      </c>
      <c r="P15">
        <v>0</v>
      </c>
    </row>
    <row r="16" spans="1:16" x14ac:dyDescent="0.35">
      <c r="A16" t="s">
        <v>353</v>
      </c>
      <c r="B16" t="s">
        <v>354</v>
      </c>
      <c r="C16">
        <v>36</v>
      </c>
      <c r="D16">
        <v>0</v>
      </c>
      <c r="E16">
        <f t="shared" si="0"/>
        <v>3.9722</v>
      </c>
      <c r="F16">
        <v>2.0278</v>
      </c>
      <c r="G16">
        <v>0.94070220299999996</v>
      </c>
      <c r="H16">
        <v>1</v>
      </c>
      <c r="I16">
        <v>4</v>
      </c>
      <c r="J16">
        <v>11</v>
      </c>
      <c r="K16">
        <v>17</v>
      </c>
      <c r="L16">
        <v>4</v>
      </c>
      <c r="M16">
        <v>4</v>
      </c>
      <c r="N16">
        <v>0</v>
      </c>
      <c r="P16">
        <v>0</v>
      </c>
    </row>
    <row r="17" spans="1:16" x14ac:dyDescent="0.35">
      <c r="A17" t="s">
        <v>389</v>
      </c>
      <c r="B17" t="s">
        <v>390</v>
      </c>
      <c r="C17">
        <v>36</v>
      </c>
      <c r="D17">
        <v>0</v>
      </c>
      <c r="E17">
        <f t="shared" si="0"/>
        <v>3.6111</v>
      </c>
      <c r="F17">
        <v>2.3889</v>
      </c>
      <c r="G17">
        <v>1.0764432909999999</v>
      </c>
      <c r="H17">
        <v>1</v>
      </c>
      <c r="I17">
        <v>5</v>
      </c>
      <c r="J17">
        <v>7</v>
      </c>
      <c r="K17">
        <v>16</v>
      </c>
      <c r="L17">
        <v>6</v>
      </c>
      <c r="M17">
        <v>6</v>
      </c>
      <c r="N17">
        <v>1</v>
      </c>
      <c r="P17">
        <v>0</v>
      </c>
    </row>
    <row r="18" spans="1:16" x14ac:dyDescent="0.35">
      <c r="A18" t="s">
        <v>401</v>
      </c>
      <c r="B18" t="s">
        <v>402</v>
      </c>
      <c r="C18">
        <v>36</v>
      </c>
      <c r="D18">
        <v>0</v>
      </c>
      <c r="E18">
        <f t="shared" si="0"/>
        <v>3.8611</v>
      </c>
      <c r="F18">
        <v>2.1389</v>
      </c>
      <c r="G18">
        <v>0.96073715100000001</v>
      </c>
      <c r="H18">
        <v>1</v>
      </c>
      <c r="I18">
        <v>5</v>
      </c>
      <c r="J18">
        <v>9</v>
      </c>
      <c r="K18">
        <v>17</v>
      </c>
      <c r="L18">
        <v>7</v>
      </c>
      <c r="M18">
        <v>2</v>
      </c>
      <c r="N18">
        <v>1</v>
      </c>
      <c r="P18">
        <v>0</v>
      </c>
    </row>
    <row r="19" spans="1:16" x14ac:dyDescent="0.35">
      <c r="A19" t="s">
        <v>437</v>
      </c>
      <c r="B19" t="s">
        <v>438</v>
      </c>
      <c r="C19">
        <v>36</v>
      </c>
      <c r="D19">
        <v>0</v>
      </c>
      <c r="E19">
        <f t="shared" si="0"/>
        <v>4.3056000000000001</v>
      </c>
      <c r="F19">
        <v>1.6943999999999999</v>
      </c>
      <c r="G19">
        <v>0.66844999599999999</v>
      </c>
      <c r="H19">
        <v>1</v>
      </c>
      <c r="I19">
        <v>4</v>
      </c>
      <c r="J19">
        <v>14</v>
      </c>
      <c r="K19">
        <v>20</v>
      </c>
      <c r="L19">
        <v>1</v>
      </c>
      <c r="M19">
        <v>1</v>
      </c>
      <c r="N19">
        <v>0</v>
      </c>
      <c r="P19">
        <v>0</v>
      </c>
    </row>
    <row r="22" spans="1:16" x14ac:dyDescent="0.35">
      <c r="H22" t="s">
        <v>505</v>
      </c>
    </row>
    <row r="23" spans="1:16" x14ac:dyDescent="0.35">
      <c r="F23" t="s">
        <v>503</v>
      </c>
      <c r="G23">
        <f>SUM(F2:F19)</f>
        <v>40.5002</v>
      </c>
    </row>
    <row r="24" spans="1:16" x14ac:dyDescent="0.35">
      <c r="F24" t="s">
        <v>504</v>
      </c>
      <c r="G24">
        <f>G23/18</f>
        <v>2.2500111111111112</v>
      </c>
      <c r="H24">
        <f>6-G24</f>
        <v>3.7499888888888888</v>
      </c>
    </row>
    <row r="26" spans="1:16" x14ac:dyDescent="0.35">
      <c r="F26" t="s">
        <v>502</v>
      </c>
      <c r="G26">
        <f>SUM(G2:G19)</f>
        <v>16.435670835</v>
      </c>
    </row>
    <row r="27" spans="1:16" x14ac:dyDescent="0.35">
      <c r="F27" t="s">
        <v>501</v>
      </c>
      <c r="G27">
        <f>G26/18</f>
        <v>0.91309282416666671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27B93-6E3A-4051-A28D-3A36A4A145F8}">
  <dimension ref="A1:P26"/>
  <sheetViews>
    <sheetView zoomScale="80" zoomScaleNormal="80" workbookViewId="0">
      <selection activeCell="B22" sqref="B22:B23"/>
    </sheetView>
  </sheetViews>
  <sheetFormatPr baseColWidth="10" defaultRowHeight="14.5" x14ac:dyDescent="0.35"/>
  <cols>
    <col min="2" max="2" width="20.90625" bestFit="1" customWidth="1"/>
    <col min="5" max="5" width="12" bestFit="1" customWidth="1"/>
    <col min="6" max="6" width="12.17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505</v>
      </c>
      <c r="F1" t="s">
        <v>4</v>
      </c>
      <c r="G1" t="s">
        <v>5</v>
      </c>
      <c r="H1" t="s">
        <v>6</v>
      </c>
      <c r="I1" t="s">
        <v>7</v>
      </c>
      <c r="J1">
        <v>1</v>
      </c>
      <c r="K1">
        <v>2</v>
      </c>
      <c r="L1">
        <v>3</v>
      </c>
      <c r="M1">
        <v>4</v>
      </c>
      <c r="N1">
        <v>5</v>
      </c>
      <c r="O1">
        <v>22</v>
      </c>
      <c r="P1" t="s">
        <v>8</v>
      </c>
    </row>
    <row r="2" spans="1:16" x14ac:dyDescent="0.35">
      <c r="A2" t="s">
        <v>29</v>
      </c>
      <c r="B2" t="s">
        <v>30</v>
      </c>
      <c r="C2">
        <v>36</v>
      </c>
      <c r="D2">
        <v>0</v>
      </c>
      <c r="E2">
        <f>6-F2</f>
        <v>4.3888888890000004</v>
      </c>
      <c r="F2">
        <v>1.611111111</v>
      </c>
      <c r="G2">
        <v>0.80277297199999997</v>
      </c>
      <c r="H2">
        <v>1</v>
      </c>
      <c r="I2">
        <v>4</v>
      </c>
      <c r="J2">
        <v>20</v>
      </c>
      <c r="K2">
        <v>11</v>
      </c>
      <c r="L2">
        <v>4</v>
      </c>
      <c r="M2">
        <v>1</v>
      </c>
      <c r="N2">
        <v>0</v>
      </c>
      <c r="P2">
        <v>0</v>
      </c>
    </row>
    <row r="3" spans="1:16" x14ac:dyDescent="0.35">
      <c r="A3" t="s">
        <v>41</v>
      </c>
      <c r="B3" t="s">
        <v>42</v>
      </c>
      <c r="C3">
        <v>36</v>
      </c>
      <c r="D3">
        <v>0</v>
      </c>
      <c r="E3" s="5">
        <f t="shared" ref="E3:E19" si="0">6-F3</f>
        <v>4.4166666670000003</v>
      </c>
      <c r="F3">
        <v>1.5833333329999999</v>
      </c>
      <c r="G3">
        <v>0.73192505500000005</v>
      </c>
      <c r="H3">
        <v>1</v>
      </c>
      <c r="I3">
        <v>3</v>
      </c>
      <c r="J3">
        <v>20</v>
      </c>
      <c r="K3">
        <v>11</v>
      </c>
      <c r="L3">
        <v>5</v>
      </c>
      <c r="M3">
        <v>0</v>
      </c>
      <c r="N3">
        <v>0</v>
      </c>
      <c r="P3">
        <v>0</v>
      </c>
    </row>
    <row r="4" spans="1:16" x14ac:dyDescent="0.35">
      <c r="A4" t="s">
        <v>77</v>
      </c>
      <c r="B4" t="s">
        <v>78</v>
      </c>
      <c r="C4">
        <v>36</v>
      </c>
      <c r="D4">
        <v>0</v>
      </c>
      <c r="E4">
        <f t="shared" si="0"/>
        <v>2.9444444440000002</v>
      </c>
      <c r="F4">
        <v>3.0555555559999998</v>
      </c>
      <c r="G4">
        <v>1.4529663150000001</v>
      </c>
      <c r="H4">
        <v>1</v>
      </c>
      <c r="I4">
        <v>5</v>
      </c>
      <c r="J4">
        <v>6</v>
      </c>
      <c r="K4">
        <v>11</v>
      </c>
      <c r="L4">
        <v>1</v>
      </c>
      <c r="M4">
        <v>11</v>
      </c>
      <c r="N4">
        <v>7</v>
      </c>
      <c r="P4">
        <v>0</v>
      </c>
    </row>
    <row r="5" spans="1:16" x14ac:dyDescent="0.35">
      <c r="A5" t="s">
        <v>89</v>
      </c>
      <c r="B5" t="s">
        <v>90</v>
      </c>
      <c r="C5">
        <v>36</v>
      </c>
      <c r="D5">
        <v>0</v>
      </c>
      <c r="E5">
        <f t="shared" si="0"/>
        <v>4.1388888890000004</v>
      </c>
      <c r="F5">
        <v>1.861111111</v>
      </c>
      <c r="G5">
        <v>0.68254891100000004</v>
      </c>
      <c r="H5">
        <v>1</v>
      </c>
      <c r="I5">
        <v>3</v>
      </c>
      <c r="J5">
        <v>11</v>
      </c>
      <c r="K5">
        <v>19</v>
      </c>
      <c r="L5">
        <v>6</v>
      </c>
      <c r="M5">
        <v>0</v>
      </c>
      <c r="N5">
        <v>0</v>
      </c>
      <c r="P5">
        <v>0</v>
      </c>
    </row>
    <row r="6" spans="1:16" x14ac:dyDescent="0.35">
      <c r="A6" t="s">
        <v>113</v>
      </c>
      <c r="B6" t="s">
        <v>114</v>
      </c>
      <c r="C6">
        <v>36</v>
      </c>
      <c r="D6">
        <v>0</v>
      </c>
      <c r="E6">
        <f t="shared" si="0"/>
        <v>3.3333333330000001</v>
      </c>
      <c r="F6">
        <v>2.6666666669999999</v>
      </c>
      <c r="G6">
        <v>1.2873006090000001</v>
      </c>
      <c r="H6">
        <v>1</v>
      </c>
      <c r="I6">
        <v>5</v>
      </c>
      <c r="J6">
        <v>6</v>
      </c>
      <c r="K6">
        <v>15</v>
      </c>
      <c r="L6">
        <v>4</v>
      </c>
      <c r="M6">
        <v>7</v>
      </c>
      <c r="N6">
        <v>4</v>
      </c>
      <c r="P6">
        <v>0</v>
      </c>
    </row>
    <row r="7" spans="1:16" x14ac:dyDescent="0.35">
      <c r="A7" t="s">
        <v>125</v>
      </c>
      <c r="B7" t="s">
        <v>126</v>
      </c>
      <c r="C7">
        <v>36</v>
      </c>
      <c r="D7">
        <v>0</v>
      </c>
      <c r="E7">
        <f t="shared" si="0"/>
        <v>4.3055555559999998</v>
      </c>
      <c r="F7">
        <v>1.6944444439999999</v>
      </c>
      <c r="G7">
        <v>0.78629127399999998</v>
      </c>
      <c r="H7">
        <v>1</v>
      </c>
      <c r="I7">
        <v>4</v>
      </c>
      <c r="J7">
        <v>17</v>
      </c>
      <c r="K7">
        <v>14</v>
      </c>
      <c r="L7">
        <v>4</v>
      </c>
      <c r="M7">
        <v>1</v>
      </c>
      <c r="N7">
        <v>0</v>
      </c>
      <c r="P7">
        <v>0</v>
      </c>
    </row>
    <row r="8" spans="1:16" x14ac:dyDescent="0.35">
      <c r="A8" t="s">
        <v>161</v>
      </c>
      <c r="B8" t="s">
        <v>162</v>
      </c>
      <c r="C8">
        <v>36</v>
      </c>
      <c r="D8">
        <v>0</v>
      </c>
      <c r="E8">
        <f t="shared" si="0"/>
        <v>4.1111111109999996</v>
      </c>
      <c r="F8">
        <v>1.888888889</v>
      </c>
      <c r="G8">
        <v>0.78477577399999998</v>
      </c>
      <c r="H8">
        <v>1</v>
      </c>
      <c r="I8">
        <v>4</v>
      </c>
      <c r="J8">
        <v>12</v>
      </c>
      <c r="K8">
        <v>17</v>
      </c>
      <c r="L8">
        <v>6</v>
      </c>
      <c r="M8">
        <v>1</v>
      </c>
      <c r="N8">
        <v>0</v>
      </c>
      <c r="P8">
        <v>0</v>
      </c>
    </row>
    <row r="9" spans="1:16" x14ac:dyDescent="0.35">
      <c r="A9" t="s">
        <v>173</v>
      </c>
      <c r="B9" t="s">
        <v>174</v>
      </c>
      <c r="C9">
        <v>36</v>
      </c>
      <c r="D9">
        <v>0</v>
      </c>
      <c r="E9">
        <f t="shared" si="0"/>
        <v>3</v>
      </c>
      <c r="F9">
        <v>3</v>
      </c>
      <c r="G9">
        <v>1.095445115</v>
      </c>
      <c r="H9">
        <v>1</v>
      </c>
      <c r="I9">
        <v>5</v>
      </c>
      <c r="J9">
        <v>3</v>
      </c>
      <c r="K9">
        <v>10</v>
      </c>
      <c r="L9">
        <v>9</v>
      </c>
      <c r="M9">
        <v>12</v>
      </c>
      <c r="N9">
        <v>2</v>
      </c>
      <c r="P9">
        <v>0</v>
      </c>
    </row>
    <row r="10" spans="1:16" x14ac:dyDescent="0.35">
      <c r="A10" t="s">
        <v>209</v>
      </c>
      <c r="B10" t="s">
        <v>210</v>
      </c>
      <c r="C10">
        <v>36</v>
      </c>
      <c r="D10">
        <v>0</v>
      </c>
      <c r="E10">
        <f t="shared" si="0"/>
        <v>3.9166666669999999</v>
      </c>
      <c r="F10">
        <v>2.0833333330000001</v>
      </c>
      <c r="G10">
        <v>1.0522085619999999</v>
      </c>
      <c r="H10">
        <v>1</v>
      </c>
      <c r="I10">
        <v>4</v>
      </c>
      <c r="J10">
        <v>12</v>
      </c>
      <c r="K10">
        <v>15</v>
      </c>
      <c r="L10">
        <v>3</v>
      </c>
      <c r="M10">
        <v>6</v>
      </c>
      <c r="N10">
        <v>0</v>
      </c>
      <c r="P10">
        <v>0</v>
      </c>
    </row>
    <row r="11" spans="1:16" x14ac:dyDescent="0.35">
      <c r="A11" t="s">
        <v>221</v>
      </c>
      <c r="B11" t="s">
        <v>222</v>
      </c>
      <c r="C11">
        <v>36</v>
      </c>
      <c r="D11">
        <v>0</v>
      </c>
      <c r="E11" s="2">
        <f t="shared" si="0"/>
        <v>2.75</v>
      </c>
      <c r="F11">
        <v>3.25</v>
      </c>
      <c r="G11">
        <v>0.99642217099999997</v>
      </c>
      <c r="H11">
        <v>1</v>
      </c>
      <c r="I11">
        <v>5</v>
      </c>
      <c r="J11">
        <v>1</v>
      </c>
      <c r="K11">
        <v>9</v>
      </c>
      <c r="L11">
        <v>8</v>
      </c>
      <c r="M11">
        <v>16</v>
      </c>
      <c r="N11">
        <v>2</v>
      </c>
      <c r="P11">
        <v>0</v>
      </c>
    </row>
    <row r="12" spans="1:16" x14ac:dyDescent="0.35">
      <c r="A12" t="s">
        <v>257</v>
      </c>
      <c r="B12" t="s">
        <v>258</v>
      </c>
      <c r="C12">
        <v>36</v>
      </c>
      <c r="D12">
        <v>0</v>
      </c>
      <c r="E12">
        <f t="shared" si="0"/>
        <v>3.5277777779999999</v>
      </c>
      <c r="F12">
        <v>2.4722222220000001</v>
      </c>
      <c r="G12">
        <v>0.94070220299999996</v>
      </c>
      <c r="H12">
        <v>1</v>
      </c>
      <c r="I12">
        <v>4</v>
      </c>
      <c r="J12">
        <v>4</v>
      </c>
      <c r="K12">
        <v>18</v>
      </c>
      <c r="L12">
        <v>7</v>
      </c>
      <c r="M12">
        <v>7</v>
      </c>
      <c r="N12">
        <v>0</v>
      </c>
      <c r="P12">
        <v>0</v>
      </c>
    </row>
    <row r="13" spans="1:16" x14ac:dyDescent="0.35">
      <c r="A13" t="s">
        <v>281</v>
      </c>
      <c r="B13" t="s">
        <v>282</v>
      </c>
      <c r="C13">
        <v>36</v>
      </c>
      <c r="D13">
        <v>0</v>
      </c>
      <c r="E13">
        <f t="shared" si="0"/>
        <v>4.0277777779999999</v>
      </c>
      <c r="F13">
        <v>1.9722222220000001</v>
      </c>
      <c r="G13">
        <v>0.970599553</v>
      </c>
      <c r="H13">
        <v>1</v>
      </c>
      <c r="I13">
        <v>5</v>
      </c>
      <c r="J13">
        <v>12</v>
      </c>
      <c r="K13">
        <v>17</v>
      </c>
      <c r="L13">
        <v>4</v>
      </c>
      <c r="M13">
        <v>2</v>
      </c>
      <c r="N13">
        <v>1</v>
      </c>
      <c r="P13">
        <v>0</v>
      </c>
    </row>
    <row r="14" spans="1:16" x14ac:dyDescent="0.35">
      <c r="A14" t="s">
        <v>317</v>
      </c>
      <c r="B14" t="s">
        <v>318</v>
      </c>
      <c r="C14">
        <v>36</v>
      </c>
      <c r="D14">
        <v>0</v>
      </c>
      <c r="E14">
        <f t="shared" si="0"/>
        <v>4.1111111109999996</v>
      </c>
      <c r="F14">
        <v>1.888888889</v>
      </c>
      <c r="G14">
        <v>0.85449325899999995</v>
      </c>
      <c r="H14">
        <v>1</v>
      </c>
      <c r="I14">
        <v>4</v>
      </c>
      <c r="J14">
        <v>12</v>
      </c>
      <c r="K14">
        <v>19</v>
      </c>
      <c r="L14">
        <v>2</v>
      </c>
      <c r="M14">
        <v>3</v>
      </c>
      <c r="N14">
        <v>0</v>
      </c>
      <c r="P14">
        <v>0</v>
      </c>
    </row>
    <row r="15" spans="1:16" x14ac:dyDescent="0.35">
      <c r="A15" t="s">
        <v>329</v>
      </c>
      <c r="B15" t="s">
        <v>330</v>
      </c>
      <c r="C15">
        <v>36</v>
      </c>
      <c r="D15">
        <v>0</v>
      </c>
      <c r="E15">
        <f t="shared" si="0"/>
        <v>4.0555555559999998</v>
      </c>
      <c r="F15">
        <v>1.9444444439999999</v>
      </c>
      <c r="G15">
        <v>0.98399896799999997</v>
      </c>
      <c r="H15">
        <v>1</v>
      </c>
      <c r="I15">
        <v>4</v>
      </c>
      <c r="J15">
        <v>14</v>
      </c>
      <c r="K15">
        <v>14</v>
      </c>
      <c r="L15">
        <v>4</v>
      </c>
      <c r="M15">
        <v>4</v>
      </c>
      <c r="N15">
        <v>0</v>
      </c>
      <c r="P15">
        <v>0</v>
      </c>
    </row>
    <row r="16" spans="1:16" x14ac:dyDescent="0.35">
      <c r="A16" t="s">
        <v>365</v>
      </c>
      <c r="B16" t="s">
        <v>366</v>
      </c>
      <c r="C16">
        <v>36</v>
      </c>
      <c r="D16">
        <v>0</v>
      </c>
      <c r="E16">
        <f t="shared" si="0"/>
        <v>3.9166666669999999</v>
      </c>
      <c r="F16">
        <v>2.0833333330000001</v>
      </c>
      <c r="G16">
        <v>0.93732141199999996</v>
      </c>
      <c r="H16">
        <v>1</v>
      </c>
      <c r="I16">
        <v>4</v>
      </c>
      <c r="J16">
        <v>10</v>
      </c>
      <c r="K16">
        <v>17</v>
      </c>
      <c r="L16">
        <v>5</v>
      </c>
      <c r="M16">
        <v>4</v>
      </c>
      <c r="N16">
        <v>0</v>
      </c>
      <c r="P16">
        <v>0</v>
      </c>
    </row>
    <row r="17" spans="1:16" x14ac:dyDescent="0.35">
      <c r="A17" t="s">
        <v>377</v>
      </c>
      <c r="B17" t="s">
        <v>378</v>
      </c>
      <c r="C17">
        <v>36</v>
      </c>
      <c r="D17">
        <v>0</v>
      </c>
      <c r="E17">
        <f t="shared" si="0"/>
        <v>3.6944444440000002</v>
      </c>
      <c r="F17">
        <v>2.3055555559999998</v>
      </c>
      <c r="G17">
        <v>1.037013416</v>
      </c>
      <c r="H17">
        <v>1</v>
      </c>
      <c r="I17">
        <v>5</v>
      </c>
      <c r="J17">
        <v>7</v>
      </c>
      <c r="K17">
        <v>17</v>
      </c>
      <c r="L17">
        <v>8</v>
      </c>
      <c r="M17">
        <v>2</v>
      </c>
      <c r="N17">
        <v>2</v>
      </c>
      <c r="P17">
        <v>0</v>
      </c>
    </row>
    <row r="18" spans="1:16" x14ac:dyDescent="0.35">
      <c r="A18" t="s">
        <v>413</v>
      </c>
      <c r="B18" t="s">
        <v>414</v>
      </c>
      <c r="C18">
        <v>36</v>
      </c>
      <c r="D18">
        <v>0</v>
      </c>
      <c r="E18">
        <f t="shared" si="0"/>
        <v>3.1666666669999999</v>
      </c>
      <c r="F18">
        <v>2.8333333330000001</v>
      </c>
      <c r="G18">
        <v>1.1338934190000001</v>
      </c>
      <c r="H18">
        <v>1</v>
      </c>
      <c r="I18">
        <v>5</v>
      </c>
      <c r="J18">
        <v>3</v>
      </c>
      <c r="K18">
        <v>14</v>
      </c>
      <c r="L18">
        <v>8</v>
      </c>
      <c r="M18">
        <v>8</v>
      </c>
      <c r="N18">
        <v>3</v>
      </c>
      <c r="P18">
        <v>0</v>
      </c>
    </row>
    <row r="19" spans="1:16" x14ac:dyDescent="0.35">
      <c r="A19" t="s">
        <v>425</v>
      </c>
      <c r="B19" t="s">
        <v>426</v>
      </c>
      <c r="C19">
        <v>36</v>
      </c>
      <c r="D19">
        <v>0</v>
      </c>
      <c r="E19">
        <f t="shared" si="0"/>
        <v>3.888888889</v>
      </c>
      <c r="F19">
        <v>2.111111111</v>
      </c>
      <c r="G19">
        <v>0.94951951099999998</v>
      </c>
      <c r="H19">
        <v>1</v>
      </c>
      <c r="I19">
        <v>4</v>
      </c>
      <c r="J19">
        <v>10</v>
      </c>
      <c r="K19">
        <v>16</v>
      </c>
      <c r="L19">
        <v>6</v>
      </c>
      <c r="M19">
        <v>4</v>
      </c>
      <c r="N19">
        <v>0</v>
      </c>
      <c r="P19">
        <v>0</v>
      </c>
    </row>
    <row r="21" spans="1:16" x14ac:dyDescent="0.35">
      <c r="H21" t="s">
        <v>505</v>
      </c>
    </row>
    <row r="22" spans="1:16" x14ac:dyDescent="0.35">
      <c r="F22" t="s">
        <v>503</v>
      </c>
      <c r="G22">
        <f>SUM(F2:F19)</f>
        <v>40.305555553999994</v>
      </c>
    </row>
    <row r="23" spans="1:16" x14ac:dyDescent="0.35">
      <c r="F23" t="s">
        <v>504</v>
      </c>
      <c r="G23">
        <f>G22/18</f>
        <v>2.2391975307777776</v>
      </c>
      <c r="H23">
        <f>6-G23</f>
        <v>3.7608024692222224</v>
      </c>
    </row>
    <row r="25" spans="1:16" x14ac:dyDescent="0.35">
      <c r="F25" t="s">
        <v>502</v>
      </c>
      <c r="G25">
        <f>SUM(G2:G19)</f>
        <v>17.480198499</v>
      </c>
    </row>
    <row r="26" spans="1:16" x14ac:dyDescent="0.35">
      <c r="F26" t="s">
        <v>501</v>
      </c>
      <c r="G26">
        <f>SUM(G25/18)</f>
        <v>0.97112213883333331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5B9D5-6E45-484E-B8BD-0BE0841C633F}">
  <dimension ref="A1:P26"/>
  <sheetViews>
    <sheetView topLeftCell="A7" workbookViewId="0">
      <selection activeCell="B22" sqref="B22:B23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505</v>
      </c>
      <c r="F1" t="s">
        <v>4</v>
      </c>
      <c r="G1" t="s">
        <v>5</v>
      </c>
      <c r="H1" t="s">
        <v>6</v>
      </c>
      <c r="I1" t="s">
        <v>7</v>
      </c>
      <c r="J1">
        <v>1</v>
      </c>
      <c r="K1">
        <v>2</v>
      </c>
      <c r="L1">
        <v>3</v>
      </c>
      <c r="M1">
        <v>4</v>
      </c>
      <c r="N1">
        <v>5</v>
      </c>
      <c r="O1">
        <v>22</v>
      </c>
      <c r="P1" t="s">
        <v>8</v>
      </c>
    </row>
    <row r="2" spans="1:16" x14ac:dyDescent="0.35">
      <c r="A2" t="s">
        <v>17</v>
      </c>
      <c r="B2" t="s">
        <v>18</v>
      </c>
      <c r="C2">
        <v>36</v>
      </c>
      <c r="D2">
        <v>0</v>
      </c>
      <c r="E2">
        <f>6-F2</f>
        <v>4.1388888890000004</v>
      </c>
      <c r="F2">
        <v>1.861111111</v>
      </c>
      <c r="G2">
        <v>0.83333333300000001</v>
      </c>
      <c r="H2">
        <v>1</v>
      </c>
      <c r="I2">
        <v>3</v>
      </c>
      <c r="J2">
        <v>15</v>
      </c>
      <c r="K2">
        <v>11</v>
      </c>
      <c r="L2">
        <v>10</v>
      </c>
      <c r="M2">
        <v>0</v>
      </c>
      <c r="N2">
        <v>0</v>
      </c>
      <c r="P2">
        <v>0</v>
      </c>
    </row>
    <row r="3" spans="1:16" x14ac:dyDescent="0.35">
      <c r="A3" t="s">
        <v>43</v>
      </c>
      <c r="B3" t="s">
        <v>44</v>
      </c>
      <c r="C3">
        <v>36</v>
      </c>
      <c r="D3">
        <v>0</v>
      </c>
      <c r="E3">
        <f t="shared" ref="E3:E19" si="0">6-F3</f>
        <v>3.8333333330000001</v>
      </c>
      <c r="F3">
        <v>2.1666666669999999</v>
      </c>
      <c r="G3">
        <v>0.77459666900000002</v>
      </c>
      <c r="H3">
        <v>1</v>
      </c>
      <c r="I3">
        <v>4</v>
      </c>
      <c r="J3">
        <v>6</v>
      </c>
      <c r="K3">
        <v>20</v>
      </c>
      <c r="L3">
        <v>8</v>
      </c>
      <c r="M3">
        <v>2</v>
      </c>
      <c r="N3">
        <v>0</v>
      </c>
      <c r="P3">
        <v>0</v>
      </c>
    </row>
    <row r="4" spans="1:16" x14ac:dyDescent="0.35">
      <c r="A4" t="s">
        <v>67</v>
      </c>
      <c r="B4" t="s">
        <v>68</v>
      </c>
      <c r="C4">
        <v>36</v>
      </c>
      <c r="D4">
        <v>0</v>
      </c>
      <c r="E4" s="2">
        <f t="shared" si="0"/>
        <v>3.6666666669999999</v>
      </c>
      <c r="F4">
        <v>2.3333333330000001</v>
      </c>
      <c r="G4">
        <v>1.041976145</v>
      </c>
      <c r="H4">
        <v>1</v>
      </c>
      <c r="I4">
        <v>5</v>
      </c>
      <c r="J4">
        <v>7</v>
      </c>
      <c r="K4">
        <v>17</v>
      </c>
      <c r="L4">
        <v>6</v>
      </c>
      <c r="M4">
        <v>5</v>
      </c>
      <c r="N4">
        <v>1</v>
      </c>
      <c r="P4">
        <v>0</v>
      </c>
    </row>
    <row r="5" spans="1:16" x14ac:dyDescent="0.35">
      <c r="A5" t="s">
        <v>91</v>
      </c>
      <c r="B5" t="s">
        <v>92</v>
      </c>
      <c r="C5">
        <v>36</v>
      </c>
      <c r="D5">
        <v>0</v>
      </c>
      <c r="E5">
        <f t="shared" si="0"/>
        <v>4.4444444440000002</v>
      </c>
      <c r="F5">
        <v>1.5555555560000001</v>
      </c>
      <c r="G5">
        <v>0.50395263099999998</v>
      </c>
      <c r="H5">
        <v>1</v>
      </c>
      <c r="I5">
        <v>2</v>
      </c>
      <c r="J5">
        <v>16</v>
      </c>
      <c r="K5">
        <v>20</v>
      </c>
      <c r="L5">
        <v>0</v>
      </c>
      <c r="M5">
        <v>0</v>
      </c>
      <c r="N5">
        <v>0</v>
      </c>
      <c r="P5">
        <v>0</v>
      </c>
    </row>
    <row r="6" spans="1:16" x14ac:dyDescent="0.35">
      <c r="A6" t="s">
        <v>103</v>
      </c>
      <c r="B6" t="s">
        <v>104</v>
      </c>
      <c r="C6">
        <v>36</v>
      </c>
      <c r="D6">
        <v>0</v>
      </c>
      <c r="E6">
        <f t="shared" si="0"/>
        <v>4.1944444440000002</v>
      </c>
      <c r="F6">
        <v>1.8055555560000001</v>
      </c>
      <c r="G6">
        <v>0.82182530099999995</v>
      </c>
      <c r="H6">
        <v>1</v>
      </c>
      <c r="I6">
        <v>4</v>
      </c>
      <c r="J6">
        <v>14</v>
      </c>
      <c r="K6">
        <v>17</v>
      </c>
      <c r="L6">
        <v>3</v>
      </c>
      <c r="M6">
        <v>2</v>
      </c>
      <c r="N6">
        <v>0</v>
      </c>
      <c r="P6">
        <v>0</v>
      </c>
    </row>
    <row r="7" spans="1:16" x14ac:dyDescent="0.35">
      <c r="A7" t="s">
        <v>139</v>
      </c>
      <c r="B7" t="s">
        <v>140</v>
      </c>
      <c r="C7">
        <v>36</v>
      </c>
      <c r="D7">
        <v>0</v>
      </c>
      <c r="E7">
        <f t="shared" si="0"/>
        <v>3.9166666669999999</v>
      </c>
      <c r="F7">
        <v>2.0833333330000001</v>
      </c>
      <c r="G7">
        <v>1.0246950770000001</v>
      </c>
      <c r="H7">
        <v>1</v>
      </c>
      <c r="I7">
        <v>4</v>
      </c>
      <c r="J7">
        <v>12</v>
      </c>
      <c r="K7">
        <v>14</v>
      </c>
      <c r="L7">
        <v>5</v>
      </c>
      <c r="M7">
        <v>5</v>
      </c>
      <c r="N7">
        <v>0</v>
      </c>
      <c r="P7">
        <v>0</v>
      </c>
    </row>
    <row r="8" spans="1:16" x14ac:dyDescent="0.35">
      <c r="A8" t="s">
        <v>151</v>
      </c>
      <c r="B8" t="s">
        <v>152</v>
      </c>
      <c r="C8">
        <v>36</v>
      </c>
      <c r="D8">
        <v>0</v>
      </c>
      <c r="E8">
        <f t="shared" si="0"/>
        <v>3.8333333330000001</v>
      </c>
      <c r="F8">
        <v>2.1666666669999999</v>
      </c>
      <c r="G8">
        <v>0.810643483</v>
      </c>
      <c r="H8">
        <v>1</v>
      </c>
      <c r="I8">
        <v>5</v>
      </c>
      <c r="J8">
        <v>6</v>
      </c>
      <c r="K8">
        <v>20</v>
      </c>
      <c r="L8">
        <v>9</v>
      </c>
      <c r="M8">
        <v>0</v>
      </c>
      <c r="N8">
        <v>1</v>
      </c>
      <c r="P8">
        <v>0</v>
      </c>
    </row>
    <row r="9" spans="1:16" x14ac:dyDescent="0.35">
      <c r="A9" t="s">
        <v>163</v>
      </c>
      <c r="B9" t="s">
        <v>164</v>
      </c>
      <c r="C9">
        <v>36</v>
      </c>
      <c r="D9">
        <v>0</v>
      </c>
      <c r="E9">
        <f t="shared" si="0"/>
        <v>4.1111111109999996</v>
      </c>
      <c r="F9">
        <v>1.888888889</v>
      </c>
      <c r="G9">
        <v>1.0079052610000001</v>
      </c>
      <c r="H9">
        <v>1</v>
      </c>
      <c r="I9">
        <v>4</v>
      </c>
      <c r="J9">
        <v>16</v>
      </c>
      <c r="K9">
        <v>12</v>
      </c>
      <c r="L9">
        <v>4</v>
      </c>
      <c r="M9">
        <v>4</v>
      </c>
      <c r="N9">
        <v>0</v>
      </c>
      <c r="P9">
        <v>0</v>
      </c>
    </row>
    <row r="10" spans="1:16" x14ac:dyDescent="0.35">
      <c r="A10" t="s">
        <v>187</v>
      </c>
      <c r="B10" t="s">
        <v>188</v>
      </c>
      <c r="C10">
        <v>36</v>
      </c>
      <c r="D10">
        <v>0</v>
      </c>
      <c r="E10">
        <f t="shared" si="0"/>
        <v>3.7777777779999999</v>
      </c>
      <c r="F10">
        <v>2.2222222220000001</v>
      </c>
      <c r="G10">
        <v>0.89796949100000001</v>
      </c>
      <c r="H10">
        <v>1</v>
      </c>
      <c r="I10">
        <v>4</v>
      </c>
      <c r="J10">
        <v>7</v>
      </c>
      <c r="K10">
        <v>18</v>
      </c>
      <c r="L10">
        <v>7</v>
      </c>
      <c r="M10">
        <v>4</v>
      </c>
      <c r="N10">
        <v>0</v>
      </c>
      <c r="P10">
        <v>0</v>
      </c>
    </row>
    <row r="11" spans="1:16" x14ac:dyDescent="0.35">
      <c r="A11" t="s">
        <v>211</v>
      </c>
      <c r="B11" t="s">
        <v>212</v>
      </c>
      <c r="C11">
        <v>36</v>
      </c>
      <c r="D11">
        <v>0</v>
      </c>
      <c r="E11">
        <f t="shared" si="0"/>
        <v>4.2222222220000001</v>
      </c>
      <c r="F11">
        <v>1.7777777779999999</v>
      </c>
      <c r="G11">
        <v>0.63745525800000002</v>
      </c>
      <c r="H11">
        <v>1</v>
      </c>
      <c r="I11">
        <v>3</v>
      </c>
      <c r="J11">
        <v>12</v>
      </c>
      <c r="K11">
        <v>20</v>
      </c>
      <c r="L11">
        <v>4</v>
      </c>
      <c r="M11">
        <v>0</v>
      </c>
      <c r="N11">
        <v>0</v>
      </c>
      <c r="P11">
        <v>0</v>
      </c>
    </row>
    <row r="12" spans="1:16" x14ac:dyDescent="0.35">
      <c r="A12" t="s">
        <v>235</v>
      </c>
      <c r="B12" t="s">
        <v>236</v>
      </c>
      <c r="C12">
        <v>36</v>
      </c>
      <c r="D12">
        <v>0</v>
      </c>
      <c r="E12">
        <f t="shared" si="0"/>
        <v>4.1944444440000002</v>
      </c>
      <c r="F12">
        <v>1.8055555560000001</v>
      </c>
      <c r="G12">
        <v>0.88864083800000004</v>
      </c>
      <c r="H12">
        <v>1</v>
      </c>
      <c r="I12">
        <v>5</v>
      </c>
      <c r="J12">
        <v>14</v>
      </c>
      <c r="K12">
        <v>18</v>
      </c>
      <c r="L12">
        <v>2</v>
      </c>
      <c r="M12">
        <v>1</v>
      </c>
      <c r="N12">
        <v>1</v>
      </c>
      <c r="P12">
        <v>0</v>
      </c>
    </row>
    <row r="13" spans="1:16" x14ac:dyDescent="0.35">
      <c r="A13" t="s">
        <v>259</v>
      </c>
      <c r="B13" t="s">
        <v>260</v>
      </c>
      <c r="C13">
        <v>36</v>
      </c>
      <c r="D13">
        <v>0</v>
      </c>
      <c r="E13">
        <f t="shared" si="0"/>
        <v>4.1111111109999996</v>
      </c>
      <c r="F13">
        <v>1.888888889</v>
      </c>
      <c r="G13">
        <v>0.85449325899999995</v>
      </c>
      <c r="H13">
        <v>1</v>
      </c>
      <c r="I13">
        <v>5</v>
      </c>
      <c r="J13">
        <v>11</v>
      </c>
      <c r="K13">
        <v>21</v>
      </c>
      <c r="L13">
        <v>2</v>
      </c>
      <c r="M13">
        <v>1</v>
      </c>
      <c r="N13">
        <v>1</v>
      </c>
      <c r="P13">
        <v>0</v>
      </c>
    </row>
    <row r="14" spans="1:16" x14ac:dyDescent="0.35">
      <c r="A14" t="s">
        <v>283</v>
      </c>
      <c r="B14" t="s">
        <v>284</v>
      </c>
      <c r="C14">
        <v>36</v>
      </c>
      <c r="D14">
        <v>0</v>
      </c>
      <c r="E14">
        <f t="shared" si="0"/>
        <v>3.8333333330000001</v>
      </c>
      <c r="F14">
        <v>2.1666666669999999</v>
      </c>
      <c r="G14">
        <v>1.028174527</v>
      </c>
      <c r="H14">
        <v>1</v>
      </c>
      <c r="I14">
        <v>5</v>
      </c>
      <c r="J14">
        <v>10</v>
      </c>
      <c r="K14">
        <v>15</v>
      </c>
      <c r="L14">
        <v>7</v>
      </c>
      <c r="M14">
        <v>3</v>
      </c>
      <c r="N14">
        <v>1</v>
      </c>
      <c r="P14">
        <v>0</v>
      </c>
    </row>
    <row r="15" spans="1:16" x14ac:dyDescent="0.35">
      <c r="A15" t="s">
        <v>307</v>
      </c>
      <c r="B15" t="s">
        <v>308</v>
      </c>
      <c r="C15">
        <v>36</v>
      </c>
      <c r="D15">
        <v>0</v>
      </c>
      <c r="E15">
        <f>6-F15</f>
        <v>3.861111111</v>
      </c>
      <c r="F15">
        <v>2.138888889</v>
      </c>
      <c r="G15">
        <v>0.68254891100000004</v>
      </c>
      <c r="H15">
        <v>1</v>
      </c>
      <c r="I15">
        <v>4</v>
      </c>
      <c r="J15">
        <v>5</v>
      </c>
      <c r="K15">
        <v>22</v>
      </c>
      <c r="L15">
        <v>8</v>
      </c>
      <c r="M15">
        <v>1</v>
      </c>
      <c r="N15">
        <v>0</v>
      </c>
      <c r="P15">
        <v>0</v>
      </c>
    </row>
    <row r="16" spans="1:16" x14ac:dyDescent="0.35">
      <c r="A16" t="s">
        <v>331</v>
      </c>
      <c r="B16" t="s">
        <v>332</v>
      </c>
      <c r="C16">
        <v>36</v>
      </c>
      <c r="D16">
        <v>0</v>
      </c>
      <c r="E16">
        <f t="shared" si="0"/>
        <v>4.25</v>
      </c>
      <c r="F16">
        <v>1.75</v>
      </c>
      <c r="G16">
        <v>0.64917530099999998</v>
      </c>
      <c r="H16">
        <v>1</v>
      </c>
      <c r="I16">
        <v>3</v>
      </c>
      <c r="J16">
        <v>13</v>
      </c>
      <c r="K16">
        <v>19</v>
      </c>
      <c r="L16">
        <v>4</v>
      </c>
      <c r="M16">
        <v>0</v>
      </c>
      <c r="N16">
        <v>0</v>
      </c>
      <c r="P16">
        <v>0</v>
      </c>
    </row>
    <row r="17" spans="1:16" x14ac:dyDescent="0.35">
      <c r="A17" t="s">
        <v>367</v>
      </c>
      <c r="B17" t="s">
        <v>368</v>
      </c>
      <c r="C17">
        <v>36</v>
      </c>
      <c r="D17">
        <v>0</v>
      </c>
      <c r="E17">
        <f t="shared" si="0"/>
        <v>4.0833333329999997</v>
      </c>
      <c r="F17">
        <v>1.9166666670000001</v>
      </c>
      <c r="G17">
        <v>0.76997216999999996</v>
      </c>
      <c r="H17">
        <v>1</v>
      </c>
      <c r="I17">
        <v>4</v>
      </c>
      <c r="J17">
        <v>11</v>
      </c>
      <c r="K17">
        <v>18</v>
      </c>
      <c r="L17">
        <v>6</v>
      </c>
      <c r="M17">
        <v>1</v>
      </c>
      <c r="N17">
        <v>0</v>
      </c>
      <c r="P17">
        <v>0</v>
      </c>
    </row>
    <row r="18" spans="1:16" x14ac:dyDescent="0.35">
      <c r="A18" t="s">
        <v>391</v>
      </c>
      <c r="B18" t="s">
        <v>392</v>
      </c>
      <c r="C18">
        <v>36</v>
      </c>
      <c r="D18">
        <v>0</v>
      </c>
      <c r="E18" s="5">
        <f t="shared" si="0"/>
        <v>4.4444444440000002</v>
      </c>
      <c r="F18">
        <v>1.5555555560000001</v>
      </c>
      <c r="G18">
        <v>0.55777335100000003</v>
      </c>
      <c r="H18">
        <v>1</v>
      </c>
      <c r="I18">
        <v>3</v>
      </c>
      <c r="J18">
        <v>17</v>
      </c>
      <c r="K18">
        <v>18</v>
      </c>
      <c r="L18">
        <v>1</v>
      </c>
      <c r="M18">
        <v>0</v>
      </c>
      <c r="N18">
        <v>0</v>
      </c>
      <c r="P18">
        <v>0</v>
      </c>
    </row>
    <row r="19" spans="1:16" x14ac:dyDescent="0.35">
      <c r="A19" t="s">
        <v>427</v>
      </c>
      <c r="B19" t="s">
        <v>428</v>
      </c>
      <c r="C19">
        <v>36</v>
      </c>
      <c r="D19">
        <v>0</v>
      </c>
      <c r="E19">
        <f t="shared" si="0"/>
        <v>3.9722222220000001</v>
      </c>
      <c r="F19">
        <v>2.0277777779999999</v>
      </c>
      <c r="G19">
        <v>0.970599553</v>
      </c>
      <c r="H19">
        <v>1</v>
      </c>
      <c r="I19">
        <v>5</v>
      </c>
      <c r="J19">
        <v>11</v>
      </c>
      <c r="K19">
        <v>17</v>
      </c>
      <c r="L19">
        <v>5</v>
      </c>
      <c r="M19">
        <v>2</v>
      </c>
      <c r="N19">
        <v>1</v>
      </c>
      <c r="P19">
        <v>0</v>
      </c>
    </row>
    <row r="21" spans="1:16" x14ac:dyDescent="0.35">
      <c r="H21" t="s">
        <v>505</v>
      </c>
    </row>
    <row r="22" spans="1:16" x14ac:dyDescent="0.35">
      <c r="F22" t="s">
        <v>503</v>
      </c>
      <c r="G22">
        <f>SUM(F2:F19)</f>
        <v>35.111111114000003</v>
      </c>
    </row>
    <row r="23" spans="1:16" x14ac:dyDescent="0.35">
      <c r="F23" t="s">
        <v>504</v>
      </c>
      <c r="G23">
        <f>G22/18</f>
        <v>1.9506172841111113</v>
      </c>
      <c r="H23">
        <f>6-G23</f>
        <v>4.0493827158888891</v>
      </c>
    </row>
    <row r="25" spans="1:16" x14ac:dyDescent="0.35">
      <c r="F25" t="s">
        <v>502</v>
      </c>
      <c r="G25">
        <f>SUM(G2:G19)</f>
        <v>14.755730558999998</v>
      </c>
    </row>
    <row r="26" spans="1:16" x14ac:dyDescent="0.35">
      <c r="F26" t="s">
        <v>501</v>
      </c>
      <c r="G26">
        <f>G25/18</f>
        <v>0.81976280883333319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3F9A-B805-4641-8317-0C06E9994147}">
  <dimension ref="A1:P26"/>
  <sheetViews>
    <sheetView topLeftCell="A7" workbookViewId="0">
      <selection activeCell="B22" sqref="B22:B23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505</v>
      </c>
      <c r="F1" t="s">
        <v>4</v>
      </c>
      <c r="G1" t="s">
        <v>5</v>
      </c>
      <c r="H1" t="s">
        <v>6</v>
      </c>
      <c r="I1" t="s">
        <v>7</v>
      </c>
      <c r="J1">
        <v>1</v>
      </c>
      <c r="K1">
        <v>2</v>
      </c>
      <c r="L1">
        <v>3</v>
      </c>
      <c r="M1">
        <v>4</v>
      </c>
      <c r="N1">
        <v>5</v>
      </c>
      <c r="O1">
        <v>22</v>
      </c>
      <c r="P1" t="s">
        <v>8</v>
      </c>
    </row>
    <row r="2" spans="1:16" x14ac:dyDescent="0.35">
      <c r="A2" t="s">
        <v>53</v>
      </c>
      <c r="B2" t="s">
        <v>54</v>
      </c>
      <c r="C2">
        <v>36</v>
      </c>
      <c r="D2">
        <v>0</v>
      </c>
      <c r="E2">
        <f>6-F2</f>
        <v>4.2222222220000001</v>
      </c>
      <c r="F2">
        <v>1.7777777779999999</v>
      </c>
      <c r="G2">
        <v>0.95949722299999995</v>
      </c>
      <c r="H2">
        <v>1</v>
      </c>
      <c r="I2">
        <v>5</v>
      </c>
      <c r="J2">
        <v>17</v>
      </c>
      <c r="K2">
        <v>13</v>
      </c>
      <c r="L2">
        <v>4</v>
      </c>
      <c r="M2">
        <v>1</v>
      </c>
      <c r="N2">
        <v>1</v>
      </c>
      <c r="P2">
        <v>0</v>
      </c>
    </row>
    <row r="3" spans="1:16" x14ac:dyDescent="0.35">
      <c r="A3" t="s">
        <v>439</v>
      </c>
      <c r="B3" t="s">
        <v>440</v>
      </c>
      <c r="C3">
        <v>36</v>
      </c>
      <c r="D3">
        <v>0</v>
      </c>
      <c r="E3">
        <f t="shared" ref="E3:E19" si="0">6-F3</f>
        <v>4.1944444440000002</v>
      </c>
      <c r="F3">
        <v>1.8055555560000001</v>
      </c>
      <c r="G3">
        <v>0.70990721499999998</v>
      </c>
      <c r="H3">
        <v>1</v>
      </c>
      <c r="I3">
        <v>4</v>
      </c>
      <c r="J3">
        <v>12</v>
      </c>
      <c r="K3">
        <v>20</v>
      </c>
      <c r="L3">
        <v>3</v>
      </c>
      <c r="M3">
        <v>1</v>
      </c>
      <c r="N3">
        <v>0</v>
      </c>
      <c r="P3">
        <v>0</v>
      </c>
    </row>
    <row r="4" spans="1:16" x14ac:dyDescent="0.35">
      <c r="A4" t="s">
        <v>79</v>
      </c>
      <c r="B4" t="s">
        <v>80</v>
      </c>
      <c r="C4">
        <v>36</v>
      </c>
      <c r="D4">
        <v>0</v>
      </c>
      <c r="E4">
        <f t="shared" si="0"/>
        <v>3.4722222220000001</v>
      </c>
      <c r="F4">
        <v>2.5277777779999999</v>
      </c>
      <c r="G4">
        <v>1.2980449279999999</v>
      </c>
      <c r="H4">
        <v>1</v>
      </c>
      <c r="I4">
        <v>5</v>
      </c>
      <c r="J4">
        <v>9</v>
      </c>
      <c r="K4">
        <v>12</v>
      </c>
      <c r="L4">
        <v>5</v>
      </c>
      <c r="M4">
        <v>7</v>
      </c>
      <c r="N4">
        <v>3</v>
      </c>
      <c r="P4">
        <v>0</v>
      </c>
    </row>
    <row r="5" spans="1:16" x14ac:dyDescent="0.35">
      <c r="A5" t="s">
        <v>415</v>
      </c>
      <c r="B5" t="s">
        <v>416</v>
      </c>
      <c r="C5">
        <v>36</v>
      </c>
      <c r="D5">
        <v>0</v>
      </c>
      <c r="E5">
        <f t="shared" si="0"/>
        <v>3.888888889</v>
      </c>
      <c r="F5">
        <v>2.111111111</v>
      </c>
      <c r="G5">
        <v>0.85449325899999995</v>
      </c>
      <c r="H5">
        <v>1</v>
      </c>
      <c r="I5">
        <v>4</v>
      </c>
      <c r="J5">
        <v>8</v>
      </c>
      <c r="K5">
        <v>19</v>
      </c>
      <c r="L5">
        <v>6</v>
      </c>
      <c r="M5">
        <v>3</v>
      </c>
      <c r="N5">
        <v>0</v>
      </c>
      <c r="P5">
        <v>0</v>
      </c>
    </row>
    <row r="6" spans="1:16" x14ac:dyDescent="0.35">
      <c r="A6" t="s">
        <v>403</v>
      </c>
      <c r="B6" t="s">
        <v>404</v>
      </c>
      <c r="C6">
        <v>36</v>
      </c>
      <c r="D6">
        <v>0</v>
      </c>
      <c r="E6">
        <f t="shared" si="0"/>
        <v>3.111111111</v>
      </c>
      <c r="F6">
        <v>2.888888889</v>
      </c>
      <c r="G6">
        <v>1.089633694</v>
      </c>
      <c r="H6">
        <v>1</v>
      </c>
      <c r="I6">
        <v>4</v>
      </c>
      <c r="J6">
        <v>4</v>
      </c>
      <c r="K6">
        <v>11</v>
      </c>
      <c r="L6">
        <v>6</v>
      </c>
      <c r="M6">
        <v>15</v>
      </c>
      <c r="N6">
        <v>0</v>
      </c>
      <c r="P6">
        <v>0</v>
      </c>
    </row>
    <row r="7" spans="1:16" x14ac:dyDescent="0.35">
      <c r="A7" t="s">
        <v>31</v>
      </c>
      <c r="B7" t="s">
        <v>32</v>
      </c>
      <c r="C7">
        <v>36</v>
      </c>
      <c r="D7">
        <v>0</v>
      </c>
      <c r="E7">
        <f t="shared" si="0"/>
        <v>3.9444444440000002</v>
      </c>
      <c r="F7">
        <v>2.0555555559999998</v>
      </c>
      <c r="G7">
        <v>1.1198072400000001</v>
      </c>
      <c r="H7">
        <v>1</v>
      </c>
      <c r="I7">
        <v>5</v>
      </c>
      <c r="J7">
        <v>14</v>
      </c>
      <c r="K7">
        <v>12</v>
      </c>
      <c r="L7">
        <v>5</v>
      </c>
      <c r="M7">
        <v>4</v>
      </c>
      <c r="N7">
        <v>1</v>
      </c>
      <c r="P7">
        <v>0</v>
      </c>
    </row>
    <row r="8" spans="1:16" x14ac:dyDescent="0.35">
      <c r="A8" t="s">
        <v>379</v>
      </c>
      <c r="B8" t="s">
        <v>380</v>
      </c>
      <c r="C8">
        <v>36</v>
      </c>
      <c r="D8">
        <v>0</v>
      </c>
      <c r="E8" s="5">
        <f t="shared" si="0"/>
        <v>4.3611111109999996</v>
      </c>
      <c r="F8">
        <v>1.638888889</v>
      </c>
      <c r="G8">
        <v>0.59294797499999996</v>
      </c>
      <c r="H8">
        <v>1</v>
      </c>
      <c r="I8">
        <v>3</v>
      </c>
      <c r="J8">
        <v>15</v>
      </c>
      <c r="K8">
        <v>19</v>
      </c>
      <c r="L8">
        <v>2</v>
      </c>
      <c r="M8">
        <v>0</v>
      </c>
      <c r="N8">
        <v>0</v>
      </c>
      <c r="P8">
        <v>0</v>
      </c>
    </row>
    <row r="9" spans="1:16" x14ac:dyDescent="0.35">
      <c r="A9" t="s">
        <v>115</v>
      </c>
      <c r="B9" t="s">
        <v>116</v>
      </c>
      <c r="C9">
        <v>36</v>
      </c>
      <c r="D9">
        <v>0</v>
      </c>
      <c r="E9">
        <f t="shared" si="0"/>
        <v>3.75</v>
      </c>
      <c r="F9">
        <v>2.25</v>
      </c>
      <c r="G9">
        <v>0.90632696700000004</v>
      </c>
      <c r="H9">
        <v>1</v>
      </c>
      <c r="I9">
        <v>5</v>
      </c>
      <c r="J9">
        <v>5</v>
      </c>
      <c r="K9">
        <v>22</v>
      </c>
      <c r="L9">
        <v>5</v>
      </c>
      <c r="M9">
        <v>3</v>
      </c>
      <c r="N9">
        <v>1</v>
      </c>
      <c r="P9">
        <v>0</v>
      </c>
    </row>
    <row r="10" spans="1:16" x14ac:dyDescent="0.35">
      <c r="A10" t="s">
        <v>355</v>
      </c>
      <c r="B10" t="s">
        <v>356</v>
      </c>
      <c r="C10">
        <v>36</v>
      </c>
      <c r="D10">
        <v>0</v>
      </c>
      <c r="E10">
        <f t="shared" si="0"/>
        <v>4.2777777779999999</v>
      </c>
      <c r="F10">
        <v>1.7222222220000001</v>
      </c>
      <c r="G10">
        <v>0.70147237399999995</v>
      </c>
      <c r="H10">
        <v>1</v>
      </c>
      <c r="I10">
        <v>4</v>
      </c>
      <c r="J10">
        <v>14</v>
      </c>
      <c r="K10">
        <v>19</v>
      </c>
      <c r="L10">
        <v>2</v>
      </c>
      <c r="M10">
        <v>1</v>
      </c>
      <c r="N10">
        <v>0</v>
      </c>
      <c r="P10">
        <v>0</v>
      </c>
    </row>
    <row r="11" spans="1:16" x14ac:dyDescent="0.35">
      <c r="A11" t="s">
        <v>127</v>
      </c>
      <c r="B11" t="s">
        <v>128</v>
      </c>
      <c r="C11">
        <v>36</v>
      </c>
      <c r="D11">
        <v>0</v>
      </c>
      <c r="E11">
        <f t="shared" si="0"/>
        <v>3.611111111</v>
      </c>
      <c r="F11">
        <v>2.388888889</v>
      </c>
      <c r="G11">
        <v>0.934353184</v>
      </c>
      <c r="H11">
        <v>1</v>
      </c>
      <c r="I11">
        <v>5</v>
      </c>
      <c r="J11">
        <v>6</v>
      </c>
      <c r="K11">
        <v>14</v>
      </c>
      <c r="L11">
        <v>13</v>
      </c>
      <c r="M11">
        <v>2</v>
      </c>
      <c r="N11">
        <v>1</v>
      </c>
      <c r="P11">
        <v>0</v>
      </c>
    </row>
    <row r="12" spans="1:16" x14ac:dyDescent="0.35">
      <c r="A12" t="s">
        <v>343</v>
      </c>
      <c r="B12" t="s">
        <v>344</v>
      </c>
      <c r="C12">
        <v>36</v>
      </c>
      <c r="D12">
        <v>0</v>
      </c>
      <c r="E12">
        <f t="shared" si="0"/>
        <v>4.1666666670000003</v>
      </c>
      <c r="F12">
        <v>1.8333333329999999</v>
      </c>
      <c r="G12">
        <v>0.507092553</v>
      </c>
      <c r="H12">
        <v>1</v>
      </c>
      <c r="I12">
        <v>3</v>
      </c>
      <c r="J12">
        <v>8</v>
      </c>
      <c r="K12">
        <v>26</v>
      </c>
      <c r="L12">
        <v>2</v>
      </c>
      <c r="M12">
        <v>0</v>
      </c>
      <c r="N12">
        <v>0</v>
      </c>
      <c r="P12">
        <v>0</v>
      </c>
    </row>
    <row r="13" spans="1:16" x14ac:dyDescent="0.35">
      <c r="A13" t="s">
        <v>175</v>
      </c>
      <c r="B13" t="s">
        <v>176</v>
      </c>
      <c r="C13">
        <v>36</v>
      </c>
      <c r="D13">
        <v>0</v>
      </c>
      <c r="E13">
        <f t="shared" si="0"/>
        <v>4.0833333329999997</v>
      </c>
      <c r="F13">
        <v>1.9166666670000001</v>
      </c>
      <c r="G13">
        <v>0.80622577500000003</v>
      </c>
      <c r="H13">
        <v>1</v>
      </c>
      <c r="I13">
        <v>4</v>
      </c>
      <c r="J13">
        <v>11</v>
      </c>
      <c r="K13">
        <v>19</v>
      </c>
      <c r="L13">
        <v>4</v>
      </c>
      <c r="M13">
        <v>2</v>
      </c>
      <c r="N13">
        <v>0</v>
      </c>
      <c r="P13">
        <v>0</v>
      </c>
    </row>
    <row r="14" spans="1:16" x14ac:dyDescent="0.35">
      <c r="A14" t="s">
        <v>319</v>
      </c>
      <c r="B14" t="s">
        <v>320</v>
      </c>
      <c r="C14">
        <v>36</v>
      </c>
      <c r="D14">
        <v>0</v>
      </c>
      <c r="E14">
        <f t="shared" si="0"/>
        <v>4.1944444440000002</v>
      </c>
      <c r="F14">
        <v>1.8055555560000001</v>
      </c>
      <c r="G14">
        <v>0.78629127399999998</v>
      </c>
      <c r="H14">
        <v>1</v>
      </c>
      <c r="I14">
        <v>4</v>
      </c>
      <c r="J14">
        <v>13</v>
      </c>
      <c r="K14">
        <v>19</v>
      </c>
      <c r="L14">
        <v>2</v>
      </c>
      <c r="M14">
        <v>2</v>
      </c>
      <c r="N14">
        <v>0</v>
      </c>
      <c r="P14">
        <v>0</v>
      </c>
    </row>
    <row r="15" spans="1:16" x14ac:dyDescent="0.35">
      <c r="A15" t="s">
        <v>199</v>
      </c>
      <c r="B15" t="s">
        <v>200</v>
      </c>
      <c r="C15">
        <v>36</v>
      </c>
      <c r="D15">
        <v>0</v>
      </c>
      <c r="E15">
        <f>6-F15</f>
        <v>4</v>
      </c>
      <c r="F15">
        <v>2</v>
      </c>
      <c r="G15">
        <v>0.95618288699999998</v>
      </c>
      <c r="H15">
        <v>1</v>
      </c>
      <c r="I15">
        <v>4</v>
      </c>
      <c r="J15">
        <v>12</v>
      </c>
      <c r="K15">
        <v>16</v>
      </c>
      <c r="L15">
        <v>4</v>
      </c>
      <c r="M15">
        <v>4</v>
      </c>
      <c r="N15">
        <v>0</v>
      </c>
      <c r="P15">
        <v>0</v>
      </c>
    </row>
    <row r="16" spans="1:16" x14ac:dyDescent="0.35">
      <c r="A16" t="s">
        <v>295</v>
      </c>
      <c r="B16" t="s">
        <v>296</v>
      </c>
      <c r="C16">
        <v>36</v>
      </c>
      <c r="D16">
        <v>0</v>
      </c>
      <c r="E16">
        <f t="shared" si="0"/>
        <v>4.0833333329999997</v>
      </c>
      <c r="F16">
        <v>1.9166666670000001</v>
      </c>
      <c r="G16">
        <v>0.80622577500000003</v>
      </c>
      <c r="H16">
        <v>1</v>
      </c>
      <c r="I16">
        <v>4</v>
      </c>
      <c r="J16">
        <v>11</v>
      </c>
      <c r="K16">
        <v>19</v>
      </c>
      <c r="L16">
        <v>4</v>
      </c>
      <c r="M16">
        <v>2</v>
      </c>
      <c r="N16">
        <v>0</v>
      </c>
      <c r="P16">
        <v>0</v>
      </c>
    </row>
    <row r="17" spans="1:16" x14ac:dyDescent="0.35">
      <c r="A17" t="s">
        <v>223</v>
      </c>
      <c r="B17" t="s">
        <v>224</v>
      </c>
      <c r="C17">
        <v>36</v>
      </c>
      <c r="D17">
        <v>0</v>
      </c>
      <c r="E17">
        <f t="shared" si="0"/>
        <v>3.8055555559999998</v>
      </c>
      <c r="F17">
        <v>2.1944444440000002</v>
      </c>
      <c r="G17">
        <v>0.98036274499999998</v>
      </c>
      <c r="H17">
        <v>1</v>
      </c>
      <c r="I17">
        <v>5</v>
      </c>
      <c r="J17">
        <v>7</v>
      </c>
      <c r="K17">
        <v>21</v>
      </c>
      <c r="L17">
        <v>3</v>
      </c>
      <c r="M17">
        <v>4</v>
      </c>
      <c r="N17">
        <v>1</v>
      </c>
      <c r="P17">
        <v>0</v>
      </c>
    </row>
    <row r="18" spans="1:16" x14ac:dyDescent="0.35">
      <c r="A18" t="s">
        <v>271</v>
      </c>
      <c r="B18" t="s">
        <v>272</v>
      </c>
      <c r="C18">
        <v>36</v>
      </c>
      <c r="D18">
        <v>0</v>
      </c>
      <c r="E18" s="2">
        <f t="shared" si="0"/>
        <v>2.9166666669999999</v>
      </c>
      <c r="F18">
        <v>3.0833333330000001</v>
      </c>
      <c r="G18">
        <v>1.250714082</v>
      </c>
      <c r="H18">
        <v>1</v>
      </c>
      <c r="I18">
        <v>5</v>
      </c>
      <c r="J18">
        <v>4</v>
      </c>
      <c r="K18">
        <v>9</v>
      </c>
      <c r="L18">
        <v>8</v>
      </c>
      <c r="M18">
        <v>10</v>
      </c>
      <c r="N18">
        <v>5</v>
      </c>
      <c r="P18">
        <v>0</v>
      </c>
    </row>
    <row r="19" spans="1:16" x14ac:dyDescent="0.35">
      <c r="A19" t="s">
        <v>247</v>
      </c>
      <c r="B19" t="s">
        <v>248</v>
      </c>
      <c r="C19">
        <v>36</v>
      </c>
      <c r="D19">
        <v>0</v>
      </c>
      <c r="E19">
        <f t="shared" si="0"/>
        <v>4.0277777779999999</v>
      </c>
      <c r="F19">
        <v>1.9722222220000001</v>
      </c>
      <c r="G19">
        <v>0.87785814399999995</v>
      </c>
      <c r="H19">
        <v>1</v>
      </c>
      <c r="I19">
        <v>4</v>
      </c>
      <c r="J19">
        <v>11</v>
      </c>
      <c r="K19">
        <v>18</v>
      </c>
      <c r="L19">
        <v>4</v>
      </c>
      <c r="M19">
        <v>3</v>
      </c>
      <c r="N19">
        <v>0</v>
      </c>
      <c r="P19">
        <v>0</v>
      </c>
    </row>
    <row r="21" spans="1:16" x14ac:dyDescent="0.35">
      <c r="H21" t="s">
        <v>505</v>
      </c>
    </row>
    <row r="22" spans="1:16" x14ac:dyDescent="0.35">
      <c r="F22" t="s">
        <v>503</v>
      </c>
      <c r="G22">
        <f>SUM(F2:F19)</f>
        <v>37.888888889999997</v>
      </c>
    </row>
    <row r="23" spans="1:16" x14ac:dyDescent="0.35">
      <c r="F23" t="s">
        <v>504</v>
      </c>
      <c r="G23">
        <f>G22/18</f>
        <v>2.1049382716666667</v>
      </c>
      <c r="H23">
        <f>6-G23</f>
        <v>3.8950617283333333</v>
      </c>
    </row>
    <row r="25" spans="1:16" x14ac:dyDescent="0.35">
      <c r="F25" t="s">
        <v>502</v>
      </c>
      <c r="G25">
        <f>SUM(G2:G19)</f>
        <v>16.137437294000001</v>
      </c>
    </row>
    <row r="26" spans="1:16" x14ac:dyDescent="0.35">
      <c r="F26" t="s">
        <v>501</v>
      </c>
      <c r="G26">
        <f>G25/18</f>
        <v>0.89652429411111123</v>
      </c>
    </row>
  </sheetData>
  <autoFilter ref="A1:P1" xr:uid="{79A73F9A-B805-4641-8317-0C06E9994147}">
    <sortState xmlns:xlrd2="http://schemas.microsoft.com/office/spreadsheetml/2017/richdata2" ref="A2:P19">
      <sortCondition ref="A1"/>
    </sortState>
  </autoFilter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1989A-4C50-43FA-B627-9298AE36E8EE}">
  <dimension ref="A1:P26"/>
  <sheetViews>
    <sheetView topLeftCell="A4" workbookViewId="0">
      <selection activeCell="B22" sqref="B22:B23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505</v>
      </c>
      <c r="F1" t="s">
        <v>4</v>
      </c>
      <c r="G1" t="s">
        <v>5</v>
      </c>
      <c r="H1" t="s">
        <v>6</v>
      </c>
      <c r="I1" t="s">
        <v>7</v>
      </c>
      <c r="J1">
        <v>1</v>
      </c>
      <c r="K1">
        <v>2</v>
      </c>
      <c r="L1">
        <v>3</v>
      </c>
      <c r="M1">
        <v>4</v>
      </c>
      <c r="N1">
        <v>5</v>
      </c>
      <c r="O1">
        <v>22</v>
      </c>
      <c r="P1" t="s">
        <v>8</v>
      </c>
    </row>
    <row r="2" spans="1:16" x14ac:dyDescent="0.35">
      <c r="A2" t="s">
        <v>19</v>
      </c>
      <c r="B2" t="s">
        <v>20</v>
      </c>
      <c r="C2">
        <v>36</v>
      </c>
      <c r="D2">
        <v>0</v>
      </c>
      <c r="E2">
        <f>6-F2</f>
        <v>3.361111111</v>
      </c>
      <c r="F2">
        <v>2.638888889</v>
      </c>
      <c r="G2">
        <v>1.1988751339999999</v>
      </c>
      <c r="H2">
        <v>1</v>
      </c>
      <c r="I2">
        <v>4</v>
      </c>
      <c r="J2">
        <v>9</v>
      </c>
      <c r="K2">
        <v>7</v>
      </c>
      <c r="L2">
        <v>8</v>
      </c>
      <c r="M2">
        <v>12</v>
      </c>
      <c r="N2">
        <v>0</v>
      </c>
      <c r="P2">
        <v>0</v>
      </c>
    </row>
    <row r="3" spans="1:16" x14ac:dyDescent="0.35">
      <c r="A3" t="s">
        <v>429</v>
      </c>
      <c r="B3" t="s">
        <v>430</v>
      </c>
      <c r="C3">
        <v>36</v>
      </c>
      <c r="D3">
        <v>0</v>
      </c>
      <c r="E3">
        <f t="shared" ref="E3:E19" si="0">6-F3</f>
        <v>3.2777777779999999</v>
      </c>
      <c r="F3">
        <v>2.7222222220000001</v>
      </c>
      <c r="G3">
        <v>1.161553421</v>
      </c>
      <c r="H3">
        <v>1</v>
      </c>
      <c r="I3">
        <v>5</v>
      </c>
      <c r="J3">
        <v>4</v>
      </c>
      <c r="K3">
        <v>14</v>
      </c>
      <c r="L3">
        <v>10</v>
      </c>
      <c r="M3">
        <v>4</v>
      </c>
      <c r="N3">
        <v>4</v>
      </c>
      <c r="P3">
        <v>0</v>
      </c>
    </row>
    <row r="4" spans="1:16" x14ac:dyDescent="0.35">
      <c r="A4" t="s">
        <v>69</v>
      </c>
      <c r="B4" t="s">
        <v>70</v>
      </c>
      <c r="C4">
        <v>36</v>
      </c>
      <c r="D4">
        <v>0</v>
      </c>
      <c r="E4">
        <f t="shared" si="0"/>
        <v>3.3333333330000001</v>
      </c>
      <c r="F4">
        <v>2.6666666669999999</v>
      </c>
      <c r="G4">
        <v>1.146423008</v>
      </c>
      <c r="H4">
        <v>1</v>
      </c>
      <c r="I4">
        <v>5</v>
      </c>
      <c r="J4">
        <v>5</v>
      </c>
      <c r="K4">
        <v>14</v>
      </c>
      <c r="L4">
        <v>7</v>
      </c>
      <c r="M4">
        <v>8</v>
      </c>
      <c r="N4">
        <v>2</v>
      </c>
      <c r="P4">
        <v>0</v>
      </c>
    </row>
    <row r="5" spans="1:16" x14ac:dyDescent="0.35">
      <c r="A5" t="s">
        <v>393</v>
      </c>
      <c r="B5" t="s">
        <v>394</v>
      </c>
      <c r="C5">
        <v>36</v>
      </c>
      <c r="D5">
        <v>0</v>
      </c>
      <c r="E5" s="5">
        <f t="shared" si="0"/>
        <v>4.25</v>
      </c>
      <c r="F5">
        <v>1.75</v>
      </c>
      <c r="G5">
        <v>0.73192505500000005</v>
      </c>
      <c r="H5">
        <v>1</v>
      </c>
      <c r="I5">
        <v>4</v>
      </c>
      <c r="J5">
        <v>14</v>
      </c>
      <c r="K5">
        <v>18</v>
      </c>
      <c r="L5">
        <v>3</v>
      </c>
      <c r="M5">
        <v>1</v>
      </c>
      <c r="N5">
        <v>0</v>
      </c>
      <c r="P5">
        <v>0</v>
      </c>
    </row>
    <row r="6" spans="1:16" x14ac:dyDescent="0.35">
      <c r="A6" t="s">
        <v>45</v>
      </c>
      <c r="B6" t="s">
        <v>46</v>
      </c>
      <c r="C6">
        <v>36</v>
      </c>
      <c r="D6">
        <v>0</v>
      </c>
      <c r="E6" s="2">
        <f t="shared" si="0"/>
        <v>3.1944444440000002</v>
      </c>
      <c r="F6">
        <v>2.8055555559999998</v>
      </c>
      <c r="G6">
        <v>0.95077245099999996</v>
      </c>
      <c r="H6">
        <v>1</v>
      </c>
      <c r="I6">
        <v>5</v>
      </c>
      <c r="J6">
        <v>2</v>
      </c>
      <c r="K6">
        <v>12</v>
      </c>
      <c r="L6">
        <v>15</v>
      </c>
      <c r="M6">
        <v>5</v>
      </c>
      <c r="N6">
        <v>2</v>
      </c>
      <c r="P6">
        <v>0</v>
      </c>
    </row>
    <row r="7" spans="1:16" x14ac:dyDescent="0.35">
      <c r="A7" t="s">
        <v>105</v>
      </c>
      <c r="B7" t="s">
        <v>106</v>
      </c>
      <c r="C7">
        <v>36</v>
      </c>
      <c r="D7">
        <v>0</v>
      </c>
      <c r="E7">
        <f t="shared" si="0"/>
        <v>4.1388888890000004</v>
      </c>
      <c r="F7">
        <v>1.861111111</v>
      </c>
      <c r="G7">
        <v>0.83333333300000001</v>
      </c>
      <c r="H7">
        <v>1</v>
      </c>
      <c r="I7">
        <v>4</v>
      </c>
      <c r="J7">
        <v>14</v>
      </c>
      <c r="K7">
        <v>14</v>
      </c>
      <c r="L7">
        <v>7</v>
      </c>
      <c r="M7">
        <v>1</v>
      </c>
      <c r="N7">
        <v>0</v>
      </c>
      <c r="P7">
        <v>0</v>
      </c>
    </row>
    <row r="8" spans="1:16" x14ac:dyDescent="0.35">
      <c r="A8" t="s">
        <v>369</v>
      </c>
      <c r="B8" t="s">
        <v>370</v>
      </c>
      <c r="C8">
        <v>36</v>
      </c>
      <c r="D8">
        <v>0</v>
      </c>
      <c r="E8">
        <f t="shared" si="0"/>
        <v>3.75</v>
      </c>
      <c r="F8">
        <v>2.25</v>
      </c>
      <c r="G8">
        <v>1.1051825959999999</v>
      </c>
      <c r="H8">
        <v>1</v>
      </c>
      <c r="I8">
        <v>4</v>
      </c>
      <c r="J8">
        <v>11</v>
      </c>
      <c r="K8">
        <v>12</v>
      </c>
      <c r="L8">
        <v>6</v>
      </c>
      <c r="M8">
        <v>7</v>
      </c>
      <c r="N8">
        <v>0</v>
      </c>
      <c r="P8">
        <v>0</v>
      </c>
    </row>
    <row r="9" spans="1:16" x14ac:dyDescent="0.35">
      <c r="A9" t="s">
        <v>153</v>
      </c>
      <c r="B9" t="s">
        <v>154</v>
      </c>
      <c r="C9">
        <v>36</v>
      </c>
      <c r="D9">
        <v>0</v>
      </c>
      <c r="E9">
        <f t="shared" si="0"/>
        <v>3.5555555559999998</v>
      </c>
      <c r="F9">
        <v>2.4444444440000002</v>
      </c>
      <c r="G9">
        <v>0.87650097999999999</v>
      </c>
      <c r="H9">
        <v>1</v>
      </c>
      <c r="I9">
        <v>5</v>
      </c>
      <c r="J9">
        <v>4</v>
      </c>
      <c r="K9">
        <v>16</v>
      </c>
      <c r="L9">
        <v>13</v>
      </c>
      <c r="M9">
        <v>2</v>
      </c>
      <c r="N9">
        <v>1</v>
      </c>
      <c r="P9">
        <v>0</v>
      </c>
    </row>
    <row r="10" spans="1:16" x14ac:dyDescent="0.35">
      <c r="A10" t="s">
        <v>141</v>
      </c>
      <c r="B10" t="s">
        <v>142</v>
      </c>
      <c r="C10">
        <v>36</v>
      </c>
      <c r="D10">
        <v>0</v>
      </c>
      <c r="E10">
        <f t="shared" si="0"/>
        <v>3.9444444440000002</v>
      </c>
      <c r="F10">
        <v>2.0555555559999998</v>
      </c>
      <c r="G10">
        <v>1.0404516720000001</v>
      </c>
      <c r="H10">
        <v>1</v>
      </c>
      <c r="I10">
        <v>4</v>
      </c>
      <c r="J10">
        <v>14</v>
      </c>
      <c r="K10">
        <v>10</v>
      </c>
      <c r="L10">
        <v>8</v>
      </c>
      <c r="M10">
        <v>4</v>
      </c>
      <c r="N10">
        <v>0</v>
      </c>
      <c r="P10">
        <v>0</v>
      </c>
    </row>
    <row r="11" spans="1:16" x14ac:dyDescent="0.35">
      <c r="A11" t="s">
        <v>165</v>
      </c>
      <c r="B11" t="s">
        <v>166</v>
      </c>
      <c r="C11">
        <v>36</v>
      </c>
      <c r="D11">
        <v>0</v>
      </c>
      <c r="E11">
        <f t="shared" si="0"/>
        <v>3.9444444440000002</v>
      </c>
      <c r="F11">
        <v>2.0555555559999998</v>
      </c>
      <c r="G11">
        <v>1.0939951539999999</v>
      </c>
      <c r="H11">
        <v>1</v>
      </c>
      <c r="I11">
        <v>4</v>
      </c>
      <c r="J11">
        <v>15</v>
      </c>
      <c r="K11">
        <v>9</v>
      </c>
      <c r="L11">
        <v>7</v>
      </c>
      <c r="M11">
        <v>5</v>
      </c>
      <c r="N11">
        <v>0</v>
      </c>
      <c r="P11">
        <v>0</v>
      </c>
    </row>
    <row r="12" spans="1:16" x14ac:dyDescent="0.35">
      <c r="A12" t="s">
        <v>93</v>
      </c>
      <c r="B12" t="s">
        <v>94</v>
      </c>
      <c r="C12">
        <v>36</v>
      </c>
      <c r="D12">
        <v>0</v>
      </c>
      <c r="E12">
        <f t="shared" si="0"/>
        <v>4.1111111109999996</v>
      </c>
      <c r="F12">
        <v>1.888888889</v>
      </c>
      <c r="G12">
        <v>0.74748254700000005</v>
      </c>
      <c r="H12">
        <v>1</v>
      </c>
      <c r="I12">
        <v>3</v>
      </c>
      <c r="J12">
        <v>12</v>
      </c>
      <c r="K12">
        <v>16</v>
      </c>
      <c r="L12">
        <v>8</v>
      </c>
      <c r="M12">
        <v>0</v>
      </c>
      <c r="N12">
        <v>0</v>
      </c>
      <c r="P12">
        <v>0</v>
      </c>
    </row>
    <row r="13" spans="1:16" x14ac:dyDescent="0.35">
      <c r="A13" t="s">
        <v>333</v>
      </c>
      <c r="B13" t="s">
        <v>334</v>
      </c>
      <c r="C13">
        <v>36</v>
      </c>
      <c r="D13">
        <v>0</v>
      </c>
      <c r="E13">
        <f t="shared" si="0"/>
        <v>4.0277777779999999</v>
      </c>
      <c r="F13">
        <v>1.9722222220000001</v>
      </c>
      <c r="G13">
        <v>0.90982293800000003</v>
      </c>
      <c r="H13">
        <v>1</v>
      </c>
      <c r="I13">
        <v>4</v>
      </c>
      <c r="J13">
        <v>12</v>
      </c>
      <c r="K13">
        <v>16</v>
      </c>
      <c r="L13">
        <v>5</v>
      </c>
      <c r="M13">
        <v>3</v>
      </c>
      <c r="N13">
        <v>0</v>
      </c>
      <c r="P13">
        <v>0</v>
      </c>
    </row>
    <row r="14" spans="1:16" x14ac:dyDescent="0.35">
      <c r="A14" t="s">
        <v>189</v>
      </c>
      <c r="B14" t="s">
        <v>190</v>
      </c>
      <c r="C14">
        <v>36</v>
      </c>
      <c r="D14">
        <v>0</v>
      </c>
      <c r="E14">
        <f t="shared" si="0"/>
        <v>3.5277777779999999</v>
      </c>
      <c r="F14">
        <v>2.4722222220000001</v>
      </c>
      <c r="G14">
        <v>0.970599553</v>
      </c>
      <c r="H14">
        <v>1</v>
      </c>
      <c r="I14">
        <v>4</v>
      </c>
      <c r="J14">
        <v>6</v>
      </c>
      <c r="K14">
        <v>13</v>
      </c>
      <c r="L14">
        <v>11</v>
      </c>
      <c r="M14">
        <v>6</v>
      </c>
      <c r="N14">
        <v>0</v>
      </c>
      <c r="P14">
        <v>0</v>
      </c>
    </row>
    <row r="15" spans="1:16" x14ac:dyDescent="0.35">
      <c r="A15" t="s">
        <v>309</v>
      </c>
      <c r="B15" t="s">
        <v>310</v>
      </c>
      <c r="C15">
        <v>36</v>
      </c>
      <c r="D15">
        <v>0</v>
      </c>
      <c r="E15">
        <f>6-F15</f>
        <v>3.4166666669999999</v>
      </c>
      <c r="F15">
        <v>2.5833333330000001</v>
      </c>
      <c r="G15">
        <v>0.99642217099999997</v>
      </c>
      <c r="H15">
        <v>1</v>
      </c>
      <c r="I15">
        <v>5</v>
      </c>
      <c r="J15">
        <v>4</v>
      </c>
      <c r="K15">
        <v>15</v>
      </c>
      <c r="L15">
        <v>10</v>
      </c>
      <c r="M15">
        <v>6</v>
      </c>
      <c r="N15">
        <v>1</v>
      </c>
      <c r="P15">
        <v>0</v>
      </c>
    </row>
    <row r="16" spans="1:16" x14ac:dyDescent="0.35">
      <c r="A16" t="s">
        <v>213</v>
      </c>
      <c r="B16" t="s">
        <v>214</v>
      </c>
      <c r="C16">
        <v>36</v>
      </c>
      <c r="D16">
        <v>0</v>
      </c>
      <c r="E16">
        <f t="shared" si="0"/>
        <v>4</v>
      </c>
      <c r="F16">
        <v>2</v>
      </c>
      <c r="G16">
        <v>0.861891607</v>
      </c>
      <c r="H16">
        <v>1</v>
      </c>
      <c r="I16">
        <v>4</v>
      </c>
      <c r="J16">
        <v>12</v>
      </c>
      <c r="K16">
        <v>13</v>
      </c>
      <c r="L16">
        <v>10</v>
      </c>
      <c r="M16">
        <v>1</v>
      </c>
      <c r="N16">
        <v>0</v>
      </c>
      <c r="P16">
        <v>0</v>
      </c>
    </row>
    <row r="17" spans="1:16" x14ac:dyDescent="0.35">
      <c r="A17" t="s">
        <v>285</v>
      </c>
      <c r="B17" t="s">
        <v>286</v>
      </c>
      <c r="C17">
        <v>36</v>
      </c>
      <c r="D17">
        <v>0</v>
      </c>
      <c r="E17">
        <f t="shared" si="0"/>
        <v>3.6666666669999999</v>
      </c>
      <c r="F17">
        <v>2.3333333330000001</v>
      </c>
      <c r="G17">
        <v>1.069044968</v>
      </c>
      <c r="H17">
        <v>1</v>
      </c>
      <c r="I17">
        <v>5</v>
      </c>
      <c r="J17">
        <v>9</v>
      </c>
      <c r="K17">
        <v>12</v>
      </c>
      <c r="L17">
        <v>10</v>
      </c>
      <c r="M17">
        <v>4</v>
      </c>
      <c r="N17">
        <v>1</v>
      </c>
      <c r="P17">
        <v>0</v>
      </c>
    </row>
    <row r="18" spans="1:16" x14ac:dyDescent="0.35">
      <c r="A18" t="s">
        <v>237</v>
      </c>
      <c r="B18" t="s">
        <v>238</v>
      </c>
      <c r="C18">
        <v>36</v>
      </c>
      <c r="D18">
        <v>0</v>
      </c>
      <c r="E18">
        <f t="shared" si="0"/>
        <v>3.861111111</v>
      </c>
      <c r="F18">
        <v>2.138888889</v>
      </c>
      <c r="G18">
        <v>1.0461569879999999</v>
      </c>
      <c r="H18">
        <v>1</v>
      </c>
      <c r="I18">
        <v>5</v>
      </c>
      <c r="J18">
        <v>11</v>
      </c>
      <c r="K18">
        <v>14</v>
      </c>
      <c r="L18">
        <v>7</v>
      </c>
      <c r="M18">
        <v>3</v>
      </c>
      <c r="N18">
        <v>1</v>
      </c>
      <c r="P18">
        <v>0</v>
      </c>
    </row>
    <row r="19" spans="1:16" x14ac:dyDescent="0.35">
      <c r="A19" t="s">
        <v>261</v>
      </c>
      <c r="B19" t="s">
        <v>262</v>
      </c>
      <c r="C19">
        <v>36</v>
      </c>
      <c r="D19">
        <v>0</v>
      </c>
      <c r="E19">
        <f t="shared" si="0"/>
        <v>3.6944444440000002</v>
      </c>
      <c r="F19">
        <v>2.3055555559999998</v>
      </c>
      <c r="G19">
        <v>1.0907256940000001</v>
      </c>
      <c r="H19">
        <v>1</v>
      </c>
      <c r="I19">
        <v>4</v>
      </c>
      <c r="J19">
        <v>10</v>
      </c>
      <c r="K19">
        <v>12</v>
      </c>
      <c r="L19">
        <v>7</v>
      </c>
      <c r="M19">
        <v>7</v>
      </c>
      <c r="N19">
        <v>0</v>
      </c>
      <c r="P19">
        <v>0</v>
      </c>
    </row>
    <row r="21" spans="1:16" x14ac:dyDescent="0.35">
      <c r="H21" t="s">
        <v>505</v>
      </c>
    </row>
    <row r="22" spans="1:16" x14ac:dyDescent="0.35">
      <c r="F22" t="s">
        <v>503</v>
      </c>
      <c r="G22">
        <f>SUM(F2:F19)</f>
        <v>40.944444445000002</v>
      </c>
    </row>
    <row r="23" spans="1:16" x14ac:dyDescent="0.35">
      <c r="F23" t="s">
        <v>504</v>
      </c>
      <c r="G23">
        <f>G22/18</f>
        <v>2.2746913580555557</v>
      </c>
      <c r="H23">
        <f>6-G23</f>
        <v>3.7253086419444443</v>
      </c>
    </row>
    <row r="25" spans="1:16" x14ac:dyDescent="0.35">
      <c r="F25" t="s">
        <v>502</v>
      </c>
      <c r="G25">
        <f>SUM(G2:G19)</f>
        <v>17.831159270000001</v>
      </c>
    </row>
    <row r="26" spans="1:16" x14ac:dyDescent="0.35">
      <c r="F26" t="s">
        <v>501</v>
      </c>
      <c r="G26">
        <f>G25/18</f>
        <v>0.99061995944444448</v>
      </c>
    </row>
  </sheetData>
  <autoFilter ref="A1:P1" xr:uid="{1571989A-4C50-43FA-B627-9298AE36E8EE}">
    <sortState xmlns:xlrd2="http://schemas.microsoft.com/office/spreadsheetml/2017/richdata2" ref="A2:P19">
      <sortCondition ref="A1"/>
    </sortState>
  </autoFilter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7B89-BD48-4A5D-94C4-D84C21266782}">
  <dimension ref="A1:P26"/>
  <sheetViews>
    <sheetView topLeftCell="A4" workbookViewId="0">
      <selection activeCell="B22" sqref="B22:B23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505</v>
      </c>
      <c r="F1" t="s">
        <v>4</v>
      </c>
      <c r="G1" t="s">
        <v>5</v>
      </c>
      <c r="H1" t="s">
        <v>6</v>
      </c>
      <c r="I1" t="s">
        <v>7</v>
      </c>
      <c r="J1">
        <v>1</v>
      </c>
      <c r="K1">
        <v>2</v>
      </c>
      <c r="L1">
        <v>3</v>
      </c>
      <c r="M1">
        <v>4</v>
      </c>
      <c r="N1">
        <v>5</v>
      </c>
      <c r="O1">
        <v>22</v>
      </c>
      <c r="P1" t="s">
        <v>8</v>
      </c>
    </row>
    <row r="2" spans="1:16" x14ac:dyDescent="0.35">
      <c r="A2" t="s">
        <v>55</v>
      </c>
      <c r="B2" t="s">
        <v>56</v>
      </c>
      <c r="C2">
        <v>36</v>
      </c>
      <c r="D2">
        <v>0</v>
      </c>
      <c r="E2">
        <f>6-F2</f>
        <v>3.861111111</v>
      </c>
      <c r="F2">
        <v>2.138888889</v>
      </c>
      <c r="G2">
        <v>0.99002966100000001</v>
      </c>
      <c r="H2">
        <v>1</v>
      </c>
      <c r="I2">
        <v>5</v>
      </c>
      <c r="J2">
        <v>10</v>
      </c>
      <c r="K2">
        <v>15</v>
      </c>
      <c r="L2">
        <v>8</v>
      </c>
      <c r="M2">
        <v>2</v>
      </c>
      <c r="N2">
        <v>1</v>
      </c>
      <c r="P2">
        <v>0</v>
      </c>
    </row>
    <row r="3" spans="1:16" x14ac:dyDescent="0.35">
      <c r="A3" t="s">
        <v>441</v>
      </c>
      <c r="B3" t="s">
        <v>442</v>
      </c>
      <c r="C3">
        <v>36</v>
      </c>
      <c r="D3">
        <v>0</v>
      </c>
      <c r="E3">
        <f t="shared" ref="E3:E19" si="0">6-F3</f>
        <v>4.0277777779999999</v>
      </c>
      <c r="F3">
        <v>1.9722222220000001</v>
      </c>
      <c r="G3">
        <v>0.87785814399999995</v>
      </c>
      <c r="H3">
        <v>1</v>
      </c>
      <c r="I3">
        <v>5</v>
      </c>
      <c r="J3">
        <v>11</v>
      </c>
      <c r="K3">
        <v>17</v>
      </c>
      <c r="L3">
        <v>7</v>
      </c>
      <c r="M3">
        <v>0</v>
      </c>
      <c r="N3">
        <v>1</v>
      </c>
      <c r="P3">
        <v>0</v>
      </c>
    </row>
    <row r="4" spans="1:16" x14ac:dyDescent="0.35">
      <c r="A4" t="s">
        <v>81</v>
      </c>
      <c r="B4" t="s">
        <v>82</v>
      </c>
      <c r="C4">
        <v>36</v>
      </c>
      <c r="D4">
        <v>0</v>
      </c>
      <c r="E4">
        <f t="shared" si="0"/>
        <v>3.3055555559999998</v>
      </c>
      <c r="F4">
        <v>2.6944444440000002</v>
      </c>
      <c r="G4">
        <v>1.260826134</v>
      </c>
      <c r="H4">
        <v>1</v>
      </c>
      <c r="I4">
        <v>5</v>
      </c>
      <c r="J4">
        <v>6</v>
      </c>
      <c r="K4">
        <v>13</v>
      </c>
      <c r="L4">
        <v>7</v>
      </c>
      <c r="M4">
        <v>6</v>
      </c>
      <c r="N4">
        <v>4</v>
      </c>
      <c r="P4">
        <v>0</v>
      </c>
    </row>
    <row r="5" spans="1:16" x14ac:dyDescent="0.35">
      <c r="A5" t="s">
        <v>417</v>
      </c>
      <c r="B5" t="s">
        <v>418</v>
      </c>
      <c r="C5">
        <v>36</v>
      </c>
      <c r="D5">
        <v>0</v>
      </c>
      <c r="E5">
        <f t="shared" si="0"/>
        <v>4</v>
      </c>
      <c r="F5">
        <v>2</v>
      </c>
      <c r="G5">
        <v>0.79282496700000005</v>
      </c>
      <c r="H5">
        <v>1</v>
      </c>
      <c r="I5">
        <v>4</v>
      </c>
      <c r="J5">
        <v>10</v>
      </c>
      <c r="K5">
        <v>17</v>
      </c>
      <c r="L5">
        <v>8</v>
      </c>
      <c r="M5">
        <v>1</v>
      </c>
      <c r="N5">
        <v>0</v>
      </c>
      <c r="P5">
        <v>0</v>
      </c>
    </row>
    <row r="6" spans="1:16" x14ac:dyDescent="0.35">
      <c r="A6" t="s">
        <v>405</v>
      </c>
      <c r="B6" t="s">
        <v>406</v>
      </c>
      <c r="C6">
        <v>36</v>
      </c>
      <c r="D6">
        <v>0</v>
      </c>
      <c r="E6">
        <f t="shared" si="0"/>
        <v>3.1944444440000002</v>
      </c>
      <c r="F6">
        <v>2.8055555559999998</v>
      </c>
      <c r="G6">
        <v>1.1166133600000001</v>
      </c>
      <c r="H6">
        <v>1</v>
      </c>
      <c r="I6">
        <v>5</v>
      </c>
      <c r="J6">
        <v>5</v>
      </c>
      <c r="K6">
        <v>9</v>
      </c>
      <c r="L6">
        <v>12</v>
      </c>
      <c r="M6">
        <v>8</v>
      </c>
      <c r="N6">
        <v>2</v>
      </c>
      <c r="P6">
        <v>0</v>
      </c>
    </row>
    <row r="7" spans="1:16" x14ac:dyDescent="0.35">
      <c r="A7" t="s">
        <v>33</v>
      </c>
      <c r="B7" t="s">
        <v>34</v>
      </c>
      <c r="C7">
        <v>36</v>
      </c>
      <c r="D7">
        <v>0</v>
      </c>
      <c r="E7">
        <f t="shared" si="0"/>
        <v>3.9722222220000001</v>
      </c>
      <c r="F7">
        <v>2.0277777779999999</v>
      </c>
      <c r="G7">
        <v>0.970599553</v>
      </c>
      <c r="H7">
        <v>1</v>
      </c>
      <c r="I7">
        <v>4</v>
      </c>
      <c r="J7">
        <v>13</v>
      </c>
      <c r="K7">
        <v>12</v>
      </c>
      <c r="L7">
        <v>8</v>
      </c>
      <c r="M7">
        <v>3</v>
      </c>
      <c r="N7">
        <v>0</v>
      </c>
      <c r="P7">
        <v>0</v>
      </c>
    </row>
    <row r="8" spans="1:16" x14ac:dyDescent="0.35">
      <c r="A8" t="s">
        <v>381</v>
      </c>
      <c r="B8" t="s">
        <v>382</v>
      </c>
      <c r="C8">
        <v>36</v>
      </c>
      <c r="D8">
        <v>0</v>
      </c>
      <c r="E8">
        <f t="shared" si="0"/>
        <v>3.9444444440000002</v>
      </c>
      <c r="F8">
        <v>2.0555555559999998</v>
      </c>
      <c r="G8">
        <v>0.86004798699999996</v>
      </c>
      <c r="H8">
        <v>1</v>
      </c>
      <c r="I8">
        <v>4</v>
      </c>
      <c r="J8">
        <v>10</v>
      </c>
      <c r="K8">
        <v>16</v>
      </c>
      <c r="L8">
        <v>8</v>
      </c>
      <c r="M8">
        <v>2</v>
      </c>
      <c r="N8">
        <v>0</v>
      </c>
      <c r="P8">
        <v>0</v>
      </c>
    </row>
    <row r="9" spans="1:16" x14ac:dyDescent="0.35">
      <c r="A9" t="s">
        <v>117</v>
      </c>
      <c r="B9" t="s">
        <v>118</v>
      </c>
      <c r="C9">
        <v>36</v>
      </c>
      <c r="D9">
        <v>0</v>
      </c>
      <c r="E9">
        <f t="shared" si="0"/>
        <v>3.388888889</v>
      </c>
      <c r="F9">
        <v>2.611111111</v>
      </c>
      <c r="G9">
        <v>0.87105118000000004</v>
      </c>
      <c r="H9">
        <v>1</v>
      </c>
      <c r="I9">
        <v>4</v>
      </c>
      <c r="J9">
        <v>3</v>
      </c>
      <c r="K9">
        <v>14</v>
      </c>
      <c r="L9">
        <v>13</v>
      </c>
      <c r="M9">
        <v>6</v>
      </c>
      <c r="N9">
        <v>0</v>
      </c>
      <c r="P9">
        <v>0</v>
      </c>
    </row>
    <row r="10" spans="1:16" x14ac:dyDescent="0.35">
      <c r="A10" t="s">
        <v>357</v>
      </c>
      <c r="B10" t="s">
        <v>358</v>
      </c>
      <c r="C10">
        <v>36</v>
      </c>
      <c r="D10">
        <v>0</v>
      </c>
      <c r="E10" s="5">
        <f t="shared" si="0"/>
        <v>4.0277777779999999</v>
      </c>
      <c r="F10">
        <v>1.9722222220000001</v>
      </c>
      <c r="G10">
        <v>0.94070220299999996</v>
      </c>
      <c r="H10">
        <v>1</v>
      </c>
      <c r="I10">
        <v>4</v>
      </c>
      <c r="J10">
        <v>13</v>
      </c>
      <c r="K10">
        <v>14</v>
      </c>
      <c r="L10">
        <v>6</v>
      </c>
      <c r="M10">
        <v>3</v>
      </c>
      <c r="N10">
        <v>0</v>
      </c>
      <c r="P10">
        <v>0</v>
      </c>
    </row>
    <row r="11" spans="1:16" x14ac:dyDescent="0.35">
      <c r="A11" t="s">
        <v>129</v>
      </c>
      <c r="B11" t="s">
        <v>130</v>
      </c>
      <c r="C11">
        <v>36</v>
      </c>
      <c r="D11">
        <v>0</v>
      </c>
      <c r="E11">
        <f t="shared" si="0"/>
        <v>3.361111111</v>
      </c>
      <c r="F11">
        <v>2.638888889</v>
      </c>
      <c r="G11">
        <v>0.89929425600000001</v>
      </c>
      <c r="H11">
        <v>1</v>
      </c>
      <c r="I11">
        <v>5</v>
      </c>
      <c r="J11">
        <v>2</v>
      </c>
      <c r="K11">
        <v>16</v>
      </c>
      <c r="L11">
        <v>12</v>
      </c>
      <c r="M11">
        <v>5</v>
      </c>
      <c r="N11">
        <v>1</v>
      </c>
      <c r="P11">
        <v>0</v>
      </c>
    </row>
    <row r="12" spans="1:16" x14ac:dyDescent="0.35">
      <c r="A12" t="s">
        <v>345</v>
      </c>
      <c r="B12" t="s">
        <v>346</v>
      </c>
      <c r="C12">
        <v>36</v>
      </c>
      <c r="D12">
        <v>0</v>
      </c>
      <c r="E12">
        <f t="shared" si="0"/>
        <v>3.7222222220000001</v>
      </c>
      <c r="F12">
        <v>2.2777777779999999</v>
      </c>
      <c r="G12">
        <v>0.91373991600000004</v>
      </c>
      <c r="H12">
        <v>1</v>
      </c>
      <c r="I12">
        <v>4</v>
      </c>
      <c r="J12">
        <v>7</v>
      </c>
      <c r="K12">
        <v>16</v>
      </c>
      <c r="L12">
        <v>9</v>
      </c>
      <c r="M12">
        <v>4</v>
      </c>
      <c r="N12">
        <v>0</v>
      </c>
      <c r="P12">
        <v>0</v>
      </c>
    </row>
    <row r="13" spans="1:16" x14ac:dyDescent="0.35">
      <c r="A13" t="s">
        <v>177</v>
      </c>
      <c r="B13" t="s">
        <v>178</v>
      </c>
      <c r="C13">
        <v>36</v>
      </c>
      <c r="D13">
        <v>0</v>
      </c>
      <c r="E13">
        <f t="shared" si="0"/>
        <v>4.0277777779999999</v>
      </c>
      <c r="F13">
        <v>1.9722222220000001</v>
      </c>
      <c r="G13">
        <v>0.84468459399999996</v>
      </c>
      <c r="H13">
        <v>1</v>
      </c>
      <c r="I13">
        <v>4</v>
      </c>
      <c r="J13">
        <v>10</v>
      </c>
      <c r="K13">
        <v>20</v>
      </c>
      <c r="L13">
        <v>3</v>
      </c>
      <c r="M13">
        <v>3</v>
      </c>
      <c r="N13">
        <v>0</v>
      </c>
      <c r="P13">
        <v>0</v>
      </c>
    </row>
    <row r="14" spans="1:16" x14ac:dyDescent="0.35">
      <c r="A14" t="s">
        <v>321</v>
      </c>
      <c r="B14" t="s">
        <v>322</v>
      </c>
      <c r="C14">
        <v>36</v>
      </c>
      <c r="D14">
        <v>0</v>
      </c>
      <c r="E14">
        <f t="shared" si="0"/>
        <v>3.9166666669999999</v>
      </c>
      <c r="F14">
        <v>2.0833333330000001</v>
      </c>
      <c r="G14">
        <v>0.96732325799999996</v>
      </c>
      <c r="H14">
        <v>1</v>
      </c>
      <c r="I14">
        <v>4</v>
      </c>
      <c r="J14">
        <v>11</v>
      </c>
      <c r="K14">
        <v>15</v>
      </c>
      <c r="L14">
        <v>6</v>
      </c>
      <c r="M14">
        <v>4</v>
      </c>
      <c r="N14">
        <v>0</v>
      </c>
      <c r="P14">
        <v>0</v>
      </c>
    </row>
    <row r="15" spans="1:16" x14ac:dyDescent="0.35">
      <c r="A15" t="s">
        <v>201</v>
      </c>
      <c r="B15" t="s">
        <v>202</v>
      </c>
      <c r="C15">
        <v>36</v>
      </c>
      <c r="D15">
        <v>0</v>
      </c>
      <c r="E15">
        <f>6-F15</f>
        <v>3.861111111</v>
      </c>
      <c r="F15">
        <v>2.138888889</v>
      </c>
      <c r="G15">
        <v>1.0184800380000001</v>
      </c>
      <c r="H15">
        <v>1</v>
      </c>
      <c r="I15">
        <v>4</v>
      </c>
      <c r="J15">
        <v>12</v>
      </c>
      <c r="K15">
        <v>11</v>
      </c>
      <c r="L15">
        <v>9</v>
      </c>
      <c r="M15">
        <v>4</v>
      </c>
      <c r="N15">
        <v>0</v>
      </c>
      <c r="P15">
        <v>0</v>
      </c>
    </row>
    <row r="16" spans="1:16" x14ac:dyDescent="0.35">
      <c r="A16" t="s">
        <v>297</v>
      </c>
      <c r="B16" t="s">
        <v>298</v>
      </c>
      <c r="C16">
        <v>36</v>
      </c>
      <c r="D16">
        <v>0</v>
      </c>
      <c r="E16">
        <f t="shared" si="0"/>
        <v>3.8055555559999998</v>
      </c>
      <c r="F16">
        <v>2.1944444440000002</v>
      </c>
      <c r="G16">
        <v>1.0907256940000001</v>
      </c>
      <c r="H16">
        <v>1</v>
      </c>
      <c r="I16">
        <v>5</v>
      </c>
      <c r="J16">
        <v>11</v>
      </c>
      <c r="K16">
        <v>13</v>
      </c>
      <c r="L16">
        <v>7</v>
      </c>
      <c r="M16">
        <v>4</v>
      </c>
      <c r="N16">
        <v>1</v>
      </c>
      <c r="P16">
        <v>0</v>
      </c>
    </row>
    <row r="17" spans="1:16" x14ac:dyDescent="0.35">
      <c r="A17" t="s">
        <v>225</v>
      </c>
      <c r="B17" t="s">
        <v>226</v>
      </c>
      <c r="C17">
        <v>36</v>
      </c>
      <c r="D17">
        <v>0</v>
      </c>
      <c r="E17">
        <f t="shared" si="0"/>
        <v>3.8055555559999998</v>
      </c>
      <c r="F17">
        <v>2.1944444440000002</v>
      </c>
      <c r="G17">
        <v>1.064208477</v>
      </c>
      <c r="H17">
        <v>1</v>
      </c>
      <c r="I17">
        <v>5</v>
      </c>
      <c r="J17">
        <v>9</v>
      </c>
      <c r="K17">
        <v>18</v>
      </c>
      <c r="L17">
        <v>3</v>
      </c>
      <c r="M17">
        <v>5</v>
      </c>
      <c r="N17">
        <v>1</v>
      </c>
      <c r="P17">
        <v>0</v>
      </c>
    </row>
    <row r="18" spans="1:16" x14ac:dyDescent="0.35">
      <c r="A18" t="s">
        <v>273</v>
      </c>
      <c r="B18" t="s">
        <v>274</v>
      </c>
      <c r="C18">
        <v>36</v>
      </c>
      <c r="D18">
        <v>0</v>
      </c>
      <c r="E18" s="2">
        <f t="shared" si="0"/>
        <v>2.9166666669999999</v>
      </c>
      <c r="F18">
        <v>3.0833333330000001</v>
      </c>
      <c r="G18">
        <v>1.227657467</v>
      </c>
      <c r="H18">
        <v>1</v>
      </c>
      <c r="I18">
        <v>5</v>
      </c>
      <c r="J18">
        <v>5</v>
      </c>
      <c r="K18">
        <v>7</v>
      </c>
      <c r="L18">
        <v>7</v>
      </c>
      <c r="M18">
        <v>14</v>
      </c>
      <c r="N18">
        <v>3</v>
      </c>
      <c r="P18">
        <v>0</v>
      </c>
    </row>
    <row r="19" spans="1:16" x14ac:dyDescent="0.35">
      <c r="A19" t="s">
        <v>249</v>
      </c>
      <c r="B19" t="s">
        <v>250</v>
      </c>
      <c r="C19">
        <v>36</v>
      </c>
      <c r="D19">
        <v>0</v>
      </c>
      <c r="E19">
        <f t="shared" si="0"/>
        <v>4.0277777779999999</v>
      </c>
      <c r="F19">
        <v>1.9722222220000001</v>
      </c>
      <c r="G19">
        <v>0.84468459399999996</v>
      </c>
      <c r="H19">
        <v>1</v>
      </c>
      <c r="I19">
        <v>4</v>
      </c>
      <c r="J19">
        <v>11</v>
      </c>
      <c r="K19">
        <v>17</v>
      </c>
      <c r="L19">
        <v>6</v>
      </c>
      <c r="M19">
        <v>2</v>
      </c>
      <c r="N19">
        <v>0</v>
      </c>
      <c r="P19">
        <v>0</v>
      </c>
    </row>
    <row r="21" spans="1:16" x14ac:dyDescent="0.35">
      <c r="H21" t="s">
        <v>505</v>
      </c>
    </row>
    <row r="22" spans="1:16" x14ac:dyDescent="0.35">
      <c r="F22" t="s">
        <v>503</v>
      </c>
      <c r="G22">
        <f>SUM(F2:F19)</f>
        <v>40.833333331999995</v>
      </c>
    </row>
    <row r="23" spans="1:16" x14ac:dyDescent="0.35">
      <c r="F23" t="s">
        <v>504</v>
      </c>
      <c r="G23">
        <f>G22/18</f>
        <v>2.2685185184444441</v>
      </c>
      <c r="H23">
        <f>6-G23</f>
        <v>3.7314814815555559</v>
      </c>
    </row>
    <row r="25" spans="1:16" x14ac:dyDescent="0.35">
      <c r="F25" t="s">
        <v>502</v>
      </c>
      <c r="G25">
        <f>SUM(G2:G19)</f>
        <v>17.551351483000001</v>
      </c>
    </row>
    <row r="26" spans="1:16" x14ac:dyDescent="0.35">
      <c r="F26" t="s">
        <v>501</v>
      </c>
      <c r="G26">
        <f>SUM(G25/18)</f>
        <v>0.97507508238888896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4B40-19A2-4BF3-9BD7-47FF33EC9238}">
  <dimension ref="A1:P26"/>
  <sheetViews>
    <sheetView topLeftCell="A4" workbookViewId="0">
      <selection activeCell="B23" sqref="B23:B24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505</v>
      </c>
      <c r="F1" t="s">
        <v>4</v>
      </c>
      <c r="G1" t="s">
        <v>5</v>
      </c>
      <c r="H1" t="s">
        <v>6</v>
      </c>
      <c r="I1" t="s">
        <v>7</v>
      </c>
      <c r="J1">
        <v>1</v>
      </c>
      <c r="K1">
        <v>2</v>
      </c>
      <c r="L1">
        <v>3</v>
      </c>
      <c r="M1">
        <v>4</v>
      </c>
      <c r="N1">
        <v>5</v>
      </c>
      <c r="O1">
        <v>22</v>
      </c>
      <c r="P1" t="s">
        <v>8</v>
      </c>
    </row>
    <row r="2" spans="1:16" x14ac:dyDescent="0.35">
      <c r="A2" t="s">
        <v>21</v>
      </c>
      <c r="B2" t="s">
        <v>22</v>
      </c>
      <c r="C2">
        <v>36</v>
      </c>
      <c r="D2">
        <v>0</v>
      </c>
      <c r="E2">
        <f>6-F2</f>
        <v>3.611111111</v>
      </c>
      <c r="F2">
        <v>2.388888889</v>
      </c>
      <c r="G2">
        <v>0.934353184</v>
      </c>
      <c r="H2">
        <v>1</v>
      </c>
      <c r="I2">
        <v>4</v>
      </c>
      <c r="J2">
        <v>6</v>
      </c>
      <c r="K2">
        <v>15</v>
      </c>
      <c r="L2">
        <v>10</v>
      </c>
      <c r="M2">
        <v>5</v>
      </c>
      <c r="N2">
        <v>0</v>
      </c>
      <c r="P2">
        <v>0</v>
      </c>
    </row>
    <row r="3" spans="1:16" x14ac:dyDescent="0.35">
      <c r="A3" t="s">
        <v>431</v>
      </c>
      <c r="B3" t="s">
        <v>432</v>
      </c>
      <c r="C3">
        <v>36</v>
      </c>
      <c r="D3">
        <v>0</v>
      </c>
      <c r="E3">
        <f t="shared" ref="E3:E19" si="0">6-F3</f>
        <v>3.5277777779999999</v>
      </c>
      <c r="F3">
        <v>2.4722222220000001</v>
      </c>
      <c r="G3">
        <v>1.2302406530000001</v>
      </c>
      <c r="H3">
        <v>1</v>
      </c>
      <c r="I3">
        <v>5</v>
      </c>
      <c r="J3">
        <v>10</v>
      </c>
      <c r="K3">
        <v>9</v>
      </c>
      <c r="L3">
        <v>9</v>
      </c>
      <c r="M3">
        <v>6</v>
      </c>
      <c r="N3">
        <v>2</v>
      </c>
      <c r="P3">
        <v>0</v>
      </c>
    </row>
    <row r="4" spans="1:16" x14ac:dyDescent="0.35">
      <c r="A4" t="s">
        <v>71</v>
      </c>
      <c r="B4" t="s">
        <v>72</v>
      </c>
      <c r="C4">
        <v>36</v>
      </c>
      <c r="D4">
        <v>0</v>
      </c>
      <c r="E4">
        <f t="shared" si="0"/>
        <v>3.5</v>
      </c>
      <c r="F4">
        <v>2.5</v>
      </c>
      <c r="G4">
        <v>1.108409414</v>
      </c>
      <c r="H4">
        <v>1</v>
      </c>
      <c r="I4">
        <v>5</v>
      </c>
      <c r="J4">
        <v>6</v>
      </c>
      <c r="K4">
        <v>15</v>
      </c>
      <c r="L4">
        <v>8</v>
      </c>
      <c r="M4">
        <v>5</v>
      </c>
      <c r="N4">
        <v>2</v>
      </c>
      <c r="P4">
        <v>0</v>
      </c>
    </row>
    <row r="5" spans="1:16" x14ac:dyDescent="0.35">
      <c r="A5" t="s">
        <v>395</v>
      </c>
      <c r="B5" t="s">
        <v>396</v>
      </c>
      <c r="C5">
        <v>36</v>
      </c>
      <c r="D5">
        <v>0</v>
      </c>
      <c r="E5">
        <f t="shared" si="0"/>
        <v>4.2222222220000001</v>
      </c>
      <c r="F5">
        <v>1.7777777779999999</v>
      </c>
      <c r="G5">
        <v>0.63745525800000002</v>
      </c>
      <c r="H5">
        <v>1</v>
      </c>
      <c r="I5">
        <v>3</v>
      </c>
      <c r="J5">
        <v>12</v>
      </c>
      <c r="K5">
        <v>20</v>
      </c>
      <c r="L5">
        <v>4</v>
      </c>
      <c r="M5">
        <v>0</v>
      </c>
      <c r="N5">
        <v>0</v>
      </c>
      <c r="P5">
        <v>0</v>
      </c>
    </row>
    <row r="6" spans="1:16" x14ac:dyDescent="0.35">
      <c r="A6" t="s">
        <v>47</v>
      </c>
      <c r="B6" t="s">
        <v>48</v>
      </c>
      <c r="C6">
        <v>36</v>
      </c>
      <c r="D6">
        <v>0</v>
      </c>
      <c r="E6" s="2">
        <f t="shared" si="0"/>
        <v>2.9722222220000001</v>
      </c>
      <c r="F6">
        <v>3.0277777779999999</v>
      </c>
      <c r="G6">
        <v>1.027788503</v>
      </c>
      <c r="H6">
        <v>1</v>
      </c>
      <c r="I6">
        <v>5</v>
      </c>
      <c r="J6">
        <v>1</v>
      </c>
      <c r="K6">
        <v>12</v>
      </c>
      <c r="L6">
        <v>11</v>
      </c>
      <c r="M6">
        <v>9</v>
      </c>
      <c r="N6">
        <v>3</v>
      </c>
      <c r="P6">
        <v>0</v>
      </c>
    </row>
    <row r="7" spans="1:16" x14ac:dyDescent="0.35">
      <c r="A7" t="s">
        <v>107</v>
      </c>
      <c r="B7" t="s">
        <v>108</v>
      </c>
      <c r="C7">
        <v>36</v>
      </c>
      <c r="D7">
        <v>0</v>
      </c>
      <c r="E7">
        <f t="shared" si="0"/>
        <v>3.7222222220000001</v>
      </c>
      <c r="F7">
        <v>2.2777777779999999</v>
      </c>
      <c r="G7">
        <v>1.161553421</v>
      </c>
      <c r="H7">
        <v>1</v>
      </c>
      <c r="I7">
        <v>5</v>
      </c>
      <c r="J7">
        <v>10</v>
      </c>
      <c r="K7">
        <v>14</v>
      </c>
      <c r="L7">
        <v>6</v>
      </c>
      <c r="M7">
        <v>4</v>
      </c>
      <c r="N7">
        <v>2</v>
      </c>
      <c r="P7">
        <v>0</v>
      </c>
    </row>
    <row r="8" spans="1:16" x14ac:dyDescent="0.35">
      <c r="A8" t="s">
        <v>371</v>
      </c>
      <c r="B8" t="s">
        <v>372</v>
      </c>
      <c r="C8">
        <v>36</v>
      </c>
      <c r="D8">
        <v>0</v>
      </c>
      <c r="E8">
        <f t="shared" si="0"/>
        <v>3.5</v>
      </c>
      <c r="F8">
        <v>2.5</v>
      </c>
      <c r="G8">
        <v>1.1338934190000001</v>
      </c>
      <c r="H8">
        <v>1</v>
      </c>
      <c r="I8">
        <v>5</v>
      </c>
      <c r="J8">
        <v>7</v>
      </c>
      <c r="K8">
        <v>14</v>
      </c>
      <c r="L8">
        <v>6</v>
      </c>
      <c r="M8">
        <v>8</v>
      </c>
      <c r="N8">
        <v>1</v>
      </c>
      <c r="P8">
        <v>0</v>
      </c>
    </row>
    <row r="9" spans="1:16" x14ac:dyDescent="0.35">
      <c r="A9" t="s">
        <v>155</v>
      </c>
      <c r="B9" t="s">
        <v>156</v>
      </c>
      <c r="C9">
        <v>36</v>
      </c>
      <c r="D9">
        <v>0</v>
      </c>
      <c r="E9">
        <f t="shared" si="0"/>
        <v>3.8333333330000001</v>
      </c>
      <c r="F9">
        <v>2.1666666669999999</v>
      </c>
      <c r="G9">
        <v>0.87831006599999994</v>
      </c>
      <c r="H9">
        <v>1</v>
      </c>
      <c r="I9">
        <v>5</v>
      </c>
      <c r="J9">
        <v>7</v>
      </c>
      <c r="K9">
        <v>19</v>
      </c>
      <c r="L9">
        <v>8</v>
      </c>
      <c r="M9">
        <v>1</v>
      </c>
      <c r="N9">
        <v>1</v>
      </c>
      <c r="P9">
        <v>0</v>
      </c>
    </row>
    <row r="10" spans="1:16" x14ac:dyDescent="0.35">
      <c r="A10" t="s">
        <v>143</v>
      </c>
      <c r="B10" t="s">
        <v>144</v>
      </c>
      <c r="C10">
        <v>36</v>
      </c>
      <c r="D10">
        <v>0</v>
      </c>
      <c r="E10">
        <f t="shared" si="0"/>
        <v>3.6944444440000002</v>
      </c>
      <c r="F10">
        <v>2.3055555559999998</v>
      </c>
      <c r="G10">
        <v>1.2832869499999999</v>
      </c>
      <c r="H10">
        <v>1</v>
      </c>
      <c r="I10">
        <v>5</v>
      </c>
      <c r="J10">
        <v>13</v>
      </c>
      <c r="K10">
        <v>9</v>
      </c>
      <c r="L10">
        <v>6</v>
      </c>
      <c r="M10">
        <v>6</v>
      </c>
      <c r="N10">
        <v>2</v>
      </c>
      <c r="P10">
        <v>0</v>
      </c>
    </row>
    <row r="11" spans="1:16" x14ac:dyDescent="0.35">
      <c r="A11" t="s">
        <v>167</v>
      </c>
      <c r="B11" t="s">
        <v>168</v>
      </c>
      <c r="C11">
        <v>36</v>
      </c>
      <c r="D11">
        <v>0</v>
      </c>
      <c r="E11">
        <f t="shared" si="0"/>
        <v>3.5</v>
      </c>
      <c r="F11">
        <v>2.5</v>
      </c>
      <c r="G11">
        <v>1.1338934190000001</v>
      </c>
      <c r="H11">
        <v>1</v>
      </c>
      <c r="I11">
        <v>4</v>
      </c>
      <c r="J11">
        <v>8</v>
      </c>
      <c r="K11">
        <v>12</v>
      </c>
      <c r="L11">
        <v>6</v>
      </c>
      <c r="M11">
        <v>10</v>
      </c>
      <c r="N11">
        <v>0</v>
      </c>
      <c r="P11">
        <v>0</v>
      </c>
    </row>
    <row r="12" spans="1:16" x14ac:dyDescent="0.35">
      <c r="A12" t="s">
        <v>95</v>
      </c>
      <c r="B12" t="s">
        <v>96</v>
      </c>
      <c r="C12">
        <v>36</v>
      </c>
      <c r="D12">
        <v>0</v>
      </c>
      <c r="E12" s="5">
        <f t="shared" si="0"/>
        <v>4.3055555559999998</v>
      </c>
      <c r="F12">
        <v>1.6944444439999999</v>
      </c>
      <c r="G12">
        <v>0.66844999599999999</v>
      </c>
      <c r="H12">
        <v>1</v>
      </c>
      <c r="I12">
        <v>3</v>
      </c>
      <c r="J12">
        <v>15</v>
      </c>
      <c r="K12">
        <v>17</v>
      </c>
      <c r="L12">
        <v>4</v>
      </c>
      <c r="M12">
        <v>0</v>
      </c>
      <c r="N12">
        <v>0</v>
      </c>
      <c r="P12">
        <v>0</v>
      </c>
    </row>
    <row r="13" spans="1:16" x14ac:dyDescent="0.35">
      <c r="A13" t="s">
        <v>335</v>
      </c>
      <c r="B13" t="s">
        <v>336</v>
      </c>
      <c r="C13">
        <v>36</v>
      </c>
      <c r="D13">
        <v>0</v>
      </c>
      <c r="E13">
        <f t="shared" si="0"/>
        <v>4.1944444440000002</v>
      </c>
      <c r="F13">
        <v>1.8055555560000001</v>
      </c>
      <c r="G13">
        <v>0.70990721499999998</v>
      </c>
      <c r="H13">
        <v>1</v>
      </c>
      <c r="I13">
        <v>3</v>
      </c>
      <c r="J13">
        <v>13</v>
      </c>
      <c r="K13">
        <v>17</v>
      </c>
      <c r="L13">
        <v>6</v>
      </c>
      <c r="M13">
        <v>0</v>
      </c>
      <c r="N13">
        <v>0</v>
      </c>
      <c r="P13">
        <v>0</v>
      </c>
    </row>
    <row r="14" spans="1:16" x14ac:dyDescent="0.35">
      <c r="A14" t="s">
        <v>191</v>
      </c>
      <c r="B14" t="s">
        <v>192</v>
      </c>
      <c r="C14">
        <v>36</v>
      </c>
      <c r="D14">
        <v>0</v>
      </c>
      <c r="E14">
        <f t="shared" si="0"/>
        <v>3.8333333330000001</v>
      </c>
      <c r="F14">
        <v>2.1666666669999999</v>
      </c>
      <c r="G14">
        <v>0.97100831200000004</v>
      </c>
      <c r="H14">
        <v>1</v>
      </c>
      <c r="I14">
        <v>4</v>
      </c>
      <c r="J14">
        <v>10</v>
      </c>
      <c r="K14">
        <v>14</v>
      </c>
      <c r="L14">
        <v>8</v>
      </c>
      <c r="M14">
        <v>4</v>
      </c>
      <c r="N14">
        <v>0</v>
      </c>
      <c r="P14">
        <v>0</v>
      </c>
    </row>
    <row r="15" spans="1:16" x14ac:dyDescent="0.35">
      <c r="A15" t="s">
        <v>311</v>
      </c>
      <c r="B15" t="s">
        <v>312</v>
      </c>
      <c r="C15">
        <v>36</v>
      </c>
      <c r="D15">
        <v>0</v>
      </c>
      <c r="E15">
        <f>6-F15</f>
        <v>3.5</v>
      </c>
      <c r="F15">
        <v>2.5</v>
      </c>
      <c r="G15">
        <v>0.97100831200000004</v>
      </c>
      <c r="H15">
        <v>1</v>
      </c>
      <c r="I15">
        <v>4</v>
      </c>
      <c r="J15">
        <v>5</v>
      </c>
      <c r="K15">
        <v>15</v>
      </c>
      <c r="L15">
        <v>9</v>
      </c>
      <c r="M15">
        <v>7</v>
      </c>
      <c r="N15">
        <v>0</v>
      </c>
      <c r="P15">
        <v>0</v>
      </c>
    </row>
    <row r="16" spans="1:16" x14ac:dyDescent="0.35">
      <c r="A16" t="s">
        <v>215</v>
      </c>
      <c r="B16" t="s">
        <v>216</v>
      </c>
      <c r="C16">
        <v>36</v>
      </c>
      <c r="D16">
        <v>0</v>
      </c>
      <c r="E16">
        <f t="shared" si="0"/>
        <v>4.2777777779999999</v>
      </c>
      <c r="F16">
        <v>1.7222222220000001</v>
      </c>
      <c r="G16">
        <v>0.51331477999999997</v>
      </c>
      <c r="H16">
        <v>1</v>
      </c>
      <c r="I16">
        <v>3</v>
      </c>
      <c r="J16">
        <v>11</v>
      </c>
      <c r="K16">
        <v>24</v>
      </c>
      <c r="L16">
        <v>1</v>
      </c>
      <c r="M16">
        <v>0</v>
      </c>
      <c r="N16">
        <v>0</v>
      </c>
      <c r="P16">
        <v>0</v>
      </c>
    </row>
    <row r="17" spans="1:16" x14ac:dyDescent="0.35">
      <c r="A17" t="s">
        <v>287</v>
      </c>
      <c r="B17" t="s">
        <v>288</v>
      </c>
      <c r="C17">
        <v>36</v>
      </c>
      <c r="D17">
        <v>0</v>
      </c>
      <c r="E17">
        <f t="shared" si="0"/>
        <v>3.9722222220000001</v>
      </c>
      <c r="F17">
        <v>2.0277777779999999</v>
      </c>
      <c r="G17">
        <v>0.99960309599999997</v>
      </c>
      <c r="H17">
        <v>1</v>
      </c>
      <c r="I17">
        <v>5</v>
      </c>
      <c r="J17">
        <v>11</v>
      </c>
      <c r="K17">
        <v>18</v>
      </c>
      <c r="L17">
        <v>3</v>
      </c>
      <c r="M17">
        <v>3</v>
      </c>
      <c r="N17">
        <v>1</v>
      </c>
      <c r="P17">
        <v>0</v>
      </c>
    </row>
    <row r="18" spans="1:16" x14ac:dyDescent="0.35">
      <c r="A18" t="s">
        <v>239</v>
      </c>
      <c r="B18" t="s">
        <v>240</v>
      </c>
      <c r="C18">
        <v>36</v>
      </c>
      <c r="D18">
        <v>0</v>
      </c>
      <c r="E18">
        <f t="shared" si="0"/>
        <v>4.0555555559999998</v>
      </c>
      <c r="F18">
        <v>1.9444444439999999</v>
      </c>
      <c r="G18">
        <v>0.82615959900000002</v>
      </c>
      <c r="H18">
        <v>1</v>
      </c>
      <c r="I18">
        <v>5</v>
      </c>
      <c r="J18">
        <v>10</v>
      </c>
      <c r="K18">
        <v>20</v>
      </c>
      <c r="L18">
        <v>5</v>
      </c>
      <c r="M18">
        <v>0</v>
      </c>
      <c r="N18">
        <v>1</v>
      </c>
      <c r="P18">
        <v>0</v>
      </c>
    </row>
    <row r="19" spans="1:16" x14ac:dyDescent="0.35">
      <c r="A19" t="s">
        <v>263</v>
      </c>
      <c r="B19" t="s">
        <v>264</v>
      </c>
      <c r="C19">
        <v>36</v>
      </c>
      <c r="D19">
        <v>0</v>
      </c>
      <c r="E19">
        <f t="shared" si="0"/>
        <v>3.888888889</v>
      </c>
      <c r="F19">
        <v>2.111111111</v>
      </c>
      <c r="G19">
        <v>0.91893658300000003</v>
      </c>
      <c r="H19">
        <v>1</v>
      </c>
      <c r="I19">
        <v>4</v>
      </c>
      <c r="J19">
        <v>10</v>
      </c>
      <c r="K19">
        <v>15</v>
      </c>
      <c r="L19">
        <v>8</v>
      </c>
      <c r="M19">
        <v>3</v>
      </c>
      <c r="N19">
        <v>0</v>
      </c>
      <c r="P19">
        <v>0</v>
      </c>
    </row>
    <row r="21" spans="1:16" x14ac:dyDescent="0.35">
      <c r="H21" t="s">
        <v>505</v>
      </c>
    </row>
    <row r="22" spans="1:16" x14ac:dyDescent="0.35">
      <c r="F22" t="s">
        <v>503</v>
      </c>
      <c r="G22">
        <f>SUM(F2:F19)</f>
        <v>39.888888890000004</v>
      </c>
    </row>
    <row r="23" spans="1:16" x14ac:dyDescent="0.35">
      <c r="F23" t="s">
        <v>504</v>
      </c>
      <c r="G23">
        <f>G22/18</f>
        <v>2.2160493827777779</v>
      </c>
      <c r="H23">
        <f>6-G23</f>
        <v>3.7839506172222221</v>
      </c>
    </row>
    <row r="25" spans="1:16" x14ac:dyDescent="0.35">
      <c r="F25" t="s">
        <v>502</v>
      </c>
      <c r="G25">
        <f>SUM(G2:G19)</f>
        <v>17.107572179999998</v>
      </c>
    </row>
    <row r="26" spans="1:16" x14ac:dyDescent="0.35">
      <c r="F26" t="s">
        <v>501</v>
      </c>
      <c r="G26">
        <f>SUM(G25/18)</f>
        <v>0.95042067666666652</v>
      </c>
    </row>
  </sheetData>
  <autoFilter ref="A1:P1" xr:uid="{6D9F4B40-19A2-4BF3-9BD7-47FF33EC9238}">
    <sortState xmlns:xlrd2="http://schemas.microsoft.com/office/spreadsheetml/2017/richdata2" ref="A2:P19">
      <sortCondition ref="A1"/>
    </sortState>
  </autoFilter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54804-AA12-4C08-823E-7F3F9643FB99}">
  <dimension ref="A1:P27"/>
  <sheetViews>
    <sheetView workbookViewId="0">
      <selection activeCell="B21" sqref="B21:B22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505</v>
      </c>
      <c r="F1" t="s">
        <v>4</v>
      </c>
      <c r="G1" t="s">
        <v>5</v>
      </c>
      <c r="H1" t="s">
        <v>6</v>
      </c>
      <c r="I1" t="s">
        <v>7</v>
      </c>
      <c r="J1">
        <v>1</v>
      </c>
      <c r="K1">
        <v>2</v>
      </c>
      <c r="L1">
        <v>3</v>
      </c>
      <c r="M1">
        <v>4</v>
      </c>
      <c r="N1">
        <v>5</v>
      </c>
      <c r="O1">
        <v>22</v>
      </c>
      <c r="P1" t="s">
        <v>8</v>
      </c>
    </row>
    <row r="2" spans="1:16" x14ac:dyDescent="0.35">
      <c r="A2" t="s">
        <v>57</v>
      </c>
      <c r="B2" t="s">
        <v>58</v>
      </c>
      <c r="C2">
        <v>36</v>
      </c>
      <c r="D2">
        <v>0</v>
      </c>
      <c r="E2">
        <f>6-F2</f>
        <v>3.4444444440000002</v>
      </c>
      <c r="F2">
        <v>2.5555555559999998</v>
      </c>
      <c r="G2">
        <v>1.229272594</v>
      </c>
      <c r="H2">
        <v>1</v>
      </c>
      <c r="I2">
        <v>5</v>
      </c>
      <c r="J2">
        <v>9</v>
      </c>
      <c r="K2">
        <v>9</v>
      </c>
      <c r="L2">
        <v>9</v>
      </c>
      <c r="M2">
        <v>7</v>
      </c>
      <c r="N2">
        <v>2</v>
      </c>
      <c r="P2">
        <v>0</v>
      </c>
    </row>
    <row r="3" spans="1:16" x14ac:dyDescent="0.35">
      <c r="A3" t="s">
        <v>443</v>
      </c>
      <c r="B3" t="s">
        <v>444</v>
      </c>
      <c r="C3">
        <v>36</v>
      </c>
      <c r="D3">
        <v>0</v>
      </c>
      <c r="E3">
        <f t="shared" ref="E3:E19" si="0">6-F3</f>
        <v>3.5555555559999998</v>
      </c>
      <c r="F3">
        <v>2.4444444440000002</v>
      </c>
      <c r="G3">
        <v>1.1818736809999999</v>
      </c>
      <c r="H3">
        <v>1</v>
      </c>
      <c r="I3">
        <v>5</v>
      </c>
      <c r="J3">
        <v>9</v>
      </c>
      <c r="K3">
        <v>12</v>
      </c>
      <c r="L3">
        <v>6</v>
      </c>
      <c r="M3">
        <v>8</v>
      </c>
      <c r="N3">
        <v>1</v>
      </c>
      <c r="P3">
        <v>0</v>
      </c>
    </row>
    <row r="4" spans="1:16" x14ac:dyDescent="0.35">
      <c r="A4" t="s">
        <v>83</v>
      </c>
      <c r="B4" t="s">
        <v>84</v>
      </c>
      <c r="C4">
        <v>36</v>
      </c>
      <c r="D4">
        <v>0</v>
      </c>
      <c r="E4">
        <f t="shared" si="0"/>
        <v>3.2222222220000001</v>
      </c>
      <c r="F4">
        <v>2.7777777779999999</v>
      </c>
      <c r="G4">
        <v>1.197881728</v>
      </c>
      <c r="H4">
        <v>1</v>
      </c>
      <c r="I4">
        <v>5</v>
      </c>
      <c r="J4">
        <v>5</v>
      </c>
      <c r="K4">
        <v>12</v>
      </c>
      <c r="L4">
        <v>8</v>
      </c>
      <c r="M4">
        <v>8</v>
      </c>
      <c r="N4">
        <v>3</v>
      </c>
      <c r="P4">
        <v>0</v>
      </c>
    </row>
    <row r="5" spans="1:16" x14ac:dyDescent="0.35">
      <c r="A5" t="s">
        <v>419</v>
      </c>
      <c r="B5" t="s">
        <v>420</v>
      </c>
      <c r="C5">
        <v>36</v>
      </c>
      <c r="D5">
        <v>0</v>
      </c>
      <c r="E5">
        <f t="shared" si="0"/>
        <v>3.5833333330000001</v>
      </c>
      <c r="F5">
        <v>2.4166666669999999</v>
      </c>
      <c r="G5">
        <v>0.99642217099999997</v>
      </c>
      <c r="H5">
        <v>1</v>
      </c>
      <c r="I5">
        <v>4</v>
      </c>
      <c r="J5">
        <v>6</v>
      </c>
      <c r="K5">
        <v>16</v>
      </c>
      <c r="L5">
        <v>7</v>
      </c>
      <c r="M5">
        <v>7</v>
      </c>
      <c r="N5">
        <v>0</v>
      </c>
      <c r="P5">
        <v>0</v>
      </c>
    </row>
    <row r="6" spans="1:16" x14ac:dyDescent="0.35">
      <c r="A6" t="s">
        <v>407</v>
      </c>
      <c r="B6" t="s">
        <v>408</v>
      </c>
      <c r="C6">
        <v>36</v>
      </c>
      <c r="D6">
        <v>0</v>
      </c>
      <c r="E6" s="2">
        <f t="shared" si="0"/>
        <v>2.638888889</v>
      </c>
      <c r="F6">
        <v>3.361111111</v>
      </c>
      <c r="G6">
        <v>1.1748015709999999</v>
      </c>
      <c r="H6">
        <v>1</v>
      </c>
      <c r="I6">
        <v>5</v>
      </c>
      <c r="J6">
        <v>3</v>
      </c>
      <c r="K6">
        <v>6</v>
      </c>
      <c r="L6">
        <v>7</v>
      </c>
      <c r="M6">
        <v>15</v>
      </c>
      <c r="N6">
        <v>5</v>
      </c>
      <c r="P6">
        <v>0</v>
      </c>
    </row>
    <row r="7" spans="1:16" x14ac:dyDescent="0.35">
      <c r="A7" t="s">
        <v>35</v>
      </c>
      <c r="B7" t="s">
        <v>36</v>
      </c>
      <c r="C7">
        <v>36</v>
      </c>
      <c r="D7">
        <v>0</v>
      </c>
      <c r="E7">
        <f t="shared" si="0"/>
        <v>3.4166666669999999</v>
      </c>
      <c r="F7">
        <v>2.5833333330000001</v>
      </c>
      <c r="G7">
        <v>1.155731061</v>
      </c>
      <c r="H7">
        <v>1</v>
      </c>
      <c r="I7">
        <v>5</v>
      </c>
      <c r="J7">
        <v>8</v>
      </c>
      <c r="K7">
        <v>9</v>
      </c>
      <c r="L7">
        <v>10</v>
      </c>
      <c r="M7">
        <v>8</v>
      </c>
      <c r="N7">
        <v>1</v>
      </c>
      <c r="P7">
        <v>0</v>
      </c>
    </row>
    <row r="8" spans="1:16" x14ac:dyDescent="0.35">
      <c r="A8" t="s">
        <v>383</v>
      </c>
      <c r="B8" t="s">
        <v>384</v>
      </c>
      <c r="C8">
        <v>36</v>
      </c>
      <c r="D8">
        <v>0</v>
      </c>
      <c r="E8" s="5">
        <f t="shared" si="0"/>
        <v>4.25</v>
      </c>
      <c r="F8">
        <v>1.75</v>
      </c>
      <c r="G8">
        <v>0.76997216999999996</v>
      </c>
      <c r="H8">
        <v>1</v>
      </c>
      <c r="I8">
        <v>4</v>
      </c>
      <c r="J8">
        <v>15</v>
      </c>
      <c r="K8">
        <v>16</v>
      </c>
      <c r="L8">
        <v>4</v>
      </c>
      <c r="M8">
        <v>1</v>
      </c>
      <c r="N8">
        <v>0</v>
      </c>
      <c r="P8">
        <v>0</v>
      </c>
    </row>
    <row r="9" spans="1:16" x14ac:dyDescent="0.35">
      <c r="A9" t="s">
        <v>119</v>
      </c>
      <c r="B9" t="s">
        <v>120</v>
      </c>
      <c r="C9">
        <v>36</v>
      </c>
      <c r="D9">
        <v>0</v>
      </c>
      <c r="E9">
        <f t="shared" si="0"/>
        <v>3.5</v>
      </c>
      <c r="F9">
        <v>2.5</v>
      </c>
      <c r="G9">
        <v>0.94112394799999999</v>
      </c>
      <c r="H9">
        <v>1</v>
      </c>
      <c r="I9">
        <v>4</v>
      </c>
      <c r="J9">
        <v>3</v>
      </c>
      <c r="K9">
        <v>20</v>
      </c>
      <c r="L9">
        <v>5</v>
      </c>
      <c r="M9">
        <v>8</v>
      </c>
      <c r="N9">
        <v>0</v>
      </c>
      <c r="P9">
        <v>0</v>
      </c>
    </row>
    <row r="10" spans="1:16" x14ac:dyDescent="0.35">
      <c r="A10" t="s">
        <v>359</v>
      </c>
      <c r="B10" t="s">
        <v>360</v>
      </c>
      <c r="C10">
        <v>36</v>
      </c>
      <c r="D10">
        <v>0</v>
      </c>
      <c r="E10">
        <f t="shared" si="0"/>
        <v>4.1111111109999996</v>
      </c>
      <c r="F10">
        <v>1.888888889</v>
      </c>
      <c r="G10">
        <v>0.85449325899999995</v>
      </c>
      <c r="H10">
        <v>1</v>
      </c>
      <c r="I10">
        <v>4</v>
      </c>
      <c r="J10">
        <v>13</v>
      </c>
      <c r="K10">
        <v>16</v>
      </c>
      <c r="L10">
        <v>5</v>
      </c>
      <c r="M10">
        <v>2</v>
      </c>
      <c r="N10">
        <v>0</v>
      </c>
      <c r="P10">
        <v>0</v>
      </c>
    </row>
    <row r="11" spans="1:16" x14ac:dyDescent="0.35">
      <c r="A11" t="s">
        <v>131</v>
      </c>
      <c r="B11" t="s">
        <v>132</v>
      </c>
      <c r="C11">
        <v>36</v>
      </c>
      <c r="D11">
        <v>0</v>
      </c>
      <c r="E11">
        <f t="shared" si="0"/>
        <v>3.6666666669999999</v>
      </c>
      <c r="F11">
        <v>2.3333333330000001</v>
      </c>
      <c r="G11">
        <v>0.92582010000000003</v>
      </c>
      <c r="H11">
        <v>1</v>
      </c>
      <c r="I11">
        <v>5</v>
      </c>
      <c r="J11">
        <v>5</v>
      </c>
      <c r="K11">
        <v>19</v>
      </c>
      <c r="L11">
        <v>8</v>
      </c>
      <c r="M11">
        <v>3</v>
      </c>
      <c r="N11">
        <v>1</v>
      </c>
      <c r="P11">
        <v>0</v>
      </c>
    </row>
    <row r="12" spans="1:16" x14ac:dyDescent="0.35">
      <c r="A12" t="s">
        <v>347</v>
      </c>
      <c r="B12" t="s">
        <v>348</v>
      </c>
      <c r="C12">
        <v>36</v>
      </c>
      <c r="D12">
        <v>0</v>
      </c>
      <c r="E12">
        <f t="shared" si="0"/>
        <v>3.611111111</v>
      </c>
      <c r="F12">
        <v>2.388888889</v>
      </c>
      <c r="G12">
        <v>0.87105118000000004</v>
      </c>
      <c r="H12">
        <v>1</v>
      </c>
      <c r="I12">
        <v>4</v>
      </c>
      <c r="J12">
        <v>4</v>
      </c>
      <c r="K12">
        <v>19</v>
      </c>
      <c r="L12">
        <v>8</v>
      </c>
      <c r="M12">
        <v>5</v>
      </c>
      <c r="N12">
        <v>0</v>
      </c>
      <c r="P12">
        <v>0</v>
      </c>
    </row>
    <row r="13" spans="1:16" x14ac:dyDescent="0.35">
      <c r="A13" t="s">
        <v>179</v>
      </c>
      <c r="B13" t="s">
        <v>180</v>
      </c>
      <c r="C13">
        <v>36</v>
      </c>
      <c r="D13">
        <v>0</v>
      </c>
      <c r="E13">
        <f t="shared" si="0"/>
        <v>4.0833333329999997</v>
      </c>
      <c r="F13">
        <v>1.9166666670000001</v>
      </c>
      <c r="G13">
        <v>0.73192505500000005</v>
      </c>
      <c r="H13">
        <v>1</v>
      </c>
      <c r="I13">
        <v>4</v>
      </c>
      <c r="J13">
        <v>10</v>
      </c>
      <c r="K13">
        <v>20</v>
      </c>
      <c r="L13">
        <v>5</v>
      </c>
      <c r="M13">
        <v>1</v>
      </c>
      <c r="N13">
        <v>0</v>
      </c>
      <c r="P13">
        <v>0</v>
      </c>
    </row>
    <row r="14" spans="1:16" x14ac:dyDescent="0.35">
      <c r="A14" t="s">
        <v>323</v>
      </c>
      <c r="B14" t="s">
        <v>324</v>
      </c>
      <c r="C14">
        <v>36</v>
      </c>
      <c r="D14">
        <v>0</v>
      </c>
      <c r="E14">
        <f t="shared" si="0"/>
        <v>4.2222222220000001</v>
      </c>
      <c r="F14">
        <v>1.7777777779999999</v>
      </c>
      <c r="G14">
        <v>0.68080251400000003</v>
      </c>
      <c r="H14">
        <v>1</v>
      </c>
      <c r="I14">
        <v>3</v>
      </c>
      <c r="J14">
        <v>13</v>
      </c>
      <c r="K14">
        <v>18</v>
      </c>
      <c r="L14">
        <v>5</v>
      </c>
      <c r="M14">
        <v>0</v>
      </c>
      <c r="N14">
        <v>0</v>
      </c>
      <c r="P14">
        <v>0</v>
      </c>
    </row>
    <row r="15" spans="1:16" x14ac:dyDescent="0.35">
      <c r="A15" t="s">
        <v>203</v>
      </c>
      <c r="B15" t="s">
        <v>204</v>
      </c>
      <c r="C15">
        <v>36</v>
      </c>
      <c r="D15">
        <v>0</v>
      </c>
      <c r="E15">
        <f>6-F15</f>
        <v>4.0833333329999997</v>
      </c>
      <c r="F15">
        <v>1.9166666670000001</v>
      </c>
      <c r="G15">
        <v>0.87423435900000002</v>
      </c>
      <c r="H15">
        <v>1</v>
      </c>
      <c r="I15">
        <v>4</v>
      </c>
      <c r="J15">
        <v>12</v>
      </c>
      <c r="K15">
        <v>18</v>
      </c>
      <c r="L15">
        <v>3</v>
      </c>
      <c r="M15">
        <v>3</v>
      </c>
      <c r="N15">
        <v>0</v>
      </c>
      <c r="P15">
        <v>0</v>
      </c>
    </row>
    <row r="16" spans="1:16" x14ac:dyDescent="0.35">
      <c r="A16" t="s">
        <v>299</v>
      </c>
      <c r="B16" t="s">
        <v>300</v>
      </c>
      <c r="C16">
        <v>36</v>
      </c>
      <c r="D16">
        <v>0</v>
      </c>
      <c r="E16">
        <f t="shared" si="0"/>
        <v>4.0277777779999999</v>
      </c>
      <c r="F16">
        <v>1.9722222220000001</v>
      </c>
      <c r="G16">
        <v>0.87785814399999995</v>
      </c>
      <c r="H16">
        <v>1</v>
      </c>
      <c r="I16">
        <v>5</v>
      </c>
      <c r="J16">
        <v>10</v>
      </c>
      <c r="K16">
        <v>20</v>
      </c>
      <c r="L16">
        <v>4</v>
      </c>
      <c r="M16">
        <v>1</v>
      </c>
      <c r="N16">
        <v>1</v>
      </c>
      <c r="P16">
        <v>0</v>
      </c>
    </row>
    <row r="17" spans="1:16" x14ac:dyDescent="0.35">
      <c r="A17" t="s">
        <v>227</v>
      </c>
      <c r="B17" t="s">
        <v>228</v>
      </c>
      <c r="C17">
        <v>36</v>
      </c>
      <c r="D17">
        <v>0</v>
      </c>
      <c r="E17">
        <f t="shared" si="0"/>
        <v>4.0277777779999999</v>
      </c>
      <c r="F17">
        <v>1.9722222220000001</v>
      </c>
      <c r="G17">
        <v>0.81015381600000003</v>
      </c>
      <c r="H17">
        <v>1</v>
      </c>
      <c r="I17">
        <v>5</v>
      </c>
      <c r="J17">
        <v>9</v>
      </c>
      <c r="K17">
        <v>21</v>
      </c>
      <c r="L17">
        <v>5</v>
      </c>
      <c r="M17">
        <v>0</v>
      </c>
      <c r="N17">
        <v>1</v>
      </c>
      <c r="P17">
        <v>0</v>
      </c>
    </row>
    <row r="18" spans="1:16" x14ac:dyDescent="0.35">
      <c r="A18" t="s">
        <v>275</v>
      </c>
      <c r="B18" t="s">
        <v>276</v>
      </c>
      <c r="C18">
        <v>36</v>
      </c>
      <c r="D18">
        <v>0</v>
      </c>
      <c r="E18">
        <f t="shared" si="0"/>
        <v>3.2222222220000001</v>
      </c>
      <c r="F18">
        <v>2.7777777779999999</v>
      </c>
      <c r="G18">
        <v>1.0720104239999999</v>
      </c>
      <c r="H18">
        <v>1</v>
      </c>
      <c r="I18">
        <v>5</v>
      </c>
      <c r="J18">
        <v>4</v>
      </c>
      <c r="K18">
        <v>12</v>
      </c>
      <c r="L18">
        <v>9</v>
      </c>
      <c r="M18">
        <v>10</v>
      </c>
      <c r="N18">
        <v>1</v>
      </c>
      <c r="P18">
        <v>0</v>
      </c>
    </row>
    <row r="19" spans="1:16" x14ac:dyDescent="0.35">
      <c r="A19" t="s">
        <v>251</v>
      </c>
      <c r="B19" t="s">
        <v>252</v>
      </c>
      <c r="C19">
        <v>36</v>
      </c>
      <c r="D19">
        <v>0</v>
      </c>
      <c r="E19">
        <f t="shared" si="0"/>
        <v>4.1944444440000002</v>
      </c>
      <c r="F19">
        <v>1.8055555560000001</v>
      </c>
      <c r="G19">
        <v>0.70990721499999998</v>
      </c>
      <c r="H19">
        <v>1</v>
      </c>
      <c r="I19">
        <v>4</v>
      </c>
      <c r="J19">
        <v>12</v>
      </c>
      <c r="K19">
        <v>20</v>
      </c>
      <c r="L19">
        <v>3</v>
      </c>
      <c r="M19">
        <v>1</v>
      </c>
      <c r="N19">
        <v>0</v>
      </c>
      <c r="P19">
        <v>0</v>
      </c>
    </row>
    <row r="22" spans="1:16" x14ac:dyDescent="0.35">
      <c r="H22" t="s">
        <v>505</v>
      </c>
    </row>
    <row r="23" spans="1:16" x14ac:dyDescent="0.35">
      <c r="F23" t="s">
        <v>503</v>
      </c>
      <c r="G23">
        <f>SUM(F2:F19)</f>
        <v>41.138888890000004</v>
      </c>
    </row>
    <row r="24" spans="1:16" x14ac:dyDescent="0.35">
      <c r="F24" t="s">
        <v>504</v>
      </c>
      <c r="G24">
        <f>G23/18</f>
        <v>2.2854938272222225</v>
      </c>
      <c r="H24">
        <f>6-G24</f>
        <v>3.7145061727777775</v>
      </c>
    </row>
    <row r="26" spans="1:16" x14ac:dyDescent="0.35">
      <c r="F26" t="s">
        <v>502</v>
      </c>
      <c r="G26">
        <f>SUM(G2:G19)</f>
        <v>17.055334989999999</v>
      </c>
    </row>
    <row r="27" spans="1:16" x14ac:dyDescent="0.35">
      <c r="F27" t="s">
        <v>501</v>
      </c>
      <c r="G27">
        <f>SUM(G26/18)</f>
        <v>0.94751861055555553</v>
      </c>
    </row>
  </sheetData>
  <autoFilter ref="A1:P1" xr:uid="{02654804-AA12-4C08-823E-7F3F9643FB99}">
    <sortState xmlns:xlrd2="http://schemas.microsoft.com/office/spreadsheetml/2017/richdata2" ref="A2:P19">
      <sortCondition ref="A1"/>
    </sortState>
  </autoFilter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3706F-1B81-4E95-81C5-E5ABAB90FED8}">
  <dimension ref="A1:P27"/>
  <sheetViews>
    <sheetView topLeftCell="A4" workbookViewId="0">
      <selection activeCell="B21" sqref="B21:B22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505</v>
      </c>
      <c r="F1" t="s">
        <v>4</v>
      </c>
      <c r="G1" t="s">
        <v>5</v>
      </c>
      <c r="H1" t="s">
        <v>6</v>
      </c>
      <c r="I1" t="s">
        <v>7</v>
      </c>
      <c r="J1">
        <v>1</v>
      </c>
      <c r="K1">
        <v>2</v>
      </c>
      <c r="L1">
        <v>3</v>
      </c>
      <c r="M1">
        <v>4</v>
      </c>
      <c r="N1">
        <v>5</v>
      </c>
      <c r="O1">
        <v>22</v>
      </c>
      <c r="P1" t="s">
        <v>8</v>
      </c>
    </row>
    <row r="2" spans="1:16" x14ac:dyDescent="0.35">
      <c r="A2" t="s">
        <v>23</v>
      </c>
      <c r="B2" t="s">
        <v>24</v>
      </c>
      <c r="C2">
        <v>36</v>
      </c>
      <c r="D2">
        <v>0</v>
      </c>
      <c r="E2">
        <f>6-F2</f>
        <v>3.7777777779999999</v>
      </c>
      <c r="F2">
        <v>2.2222222220000001</v>
      </c>
      <c r="G2">
        <v>1.2215005080000001</v>
      </c>
      <c r="H2">
        <v>1</v>
      </c>
      <c r="I2">
        <v>5</v>
      </c>
      <c r="J2">
        <v>11</v>
      </c>
      <c r="K2">
        <v>16</v>
      </c>
      <c r="L2">
        <v>1</v>
      </c>
      <c r="M2">
        <v>6</v>
      </c>
      <c r="N2">
        <v>2</v>
      </c>
      <c r="P2">
        <v>0</v>
      </c>
    </row>
    <row r="3" spans="1:16" x14ac:dyDescent="0.35">
      <c r="A3" t="s">
        <v>433</v>
      </c>
      <c r="B3" t="s">
        <v>434</v>
      </c>
      <c r="C3">
        <v>36</v>
      </c>
      <c r="D3">
        <v>0</v>
      </c>
      <c r="E3">
        <f t="shared" ref="E3:E19" si="0">6-F3</f>
        <v>3.5</v>
      </c>
      <c r="F3">
        <v>2.5</v>
      </c>
      <c r="G3">
        <v>1.253566341</v>
      </c>
      <c r="H3">
        <v>1</v>
      </c>
      <c r="I3">
        <v>5</v>
      </c>
      <c r="J3">
        <v>7</v>
      </c>
      <c r="K3">
        <v>16</v>
      </c>
      <c r="L3">
        <v>5</v>
      </c>
      <c r="M3">
        <v>4</v>
      </c>
      <c r="N3">
        <v>4</v>
      </c>
      <c r="P3">
        <v>0</v>
      </c>
    </row>
    <row r="4" spans="1:16" x14ac:dyDescent="0.35">
      <c r="A4" t="s">
        <v>73</v>
      </c>
      <c r="B4" t="s">
        <v>74</v>
      </c>
      <c r="C4">
        <v>36</v>
      </c>
      <c r="D4">
        <v>0</v>
      </c>
      <c r="E4">
        <f t="shared" si="0"/>
        <v>3.0833333330000001</v>
      </c>
      <c r="F4">
        <v>2.9166666669999999</v>
      </c>
      <c r="G4">
        <v>1.250714082</v>
      </c>
      <c r="H4">
        <v>1</v>
      </c>
      <c r="I4">
        <v>5</v>
      </c>
      <c r="J4">
        <v>5</v>
      </c>
      <c r="K4">
        <v>9</v>
      </c>
      <c r="L4">
        <v>11</v>
      </c>
      <c r="M4">
        <v>6</v>
      </c>
      <c r="N4">
        <v>5</v>
      </c>
      <c r="P4">
        <v>0</v>
      </c>
    </row>
    <row r="5" spans="1:16" x14ac:dyDescent="0.35">
      <c r="A5" t="s">
        <v>397</v>
      </c>
      <c r="B5" t="s">
        <v>398</v>
      </c>
      <c r="C5">
        <v>36</v>
      </c>
      <c r="D5">
        <v>0</v>
      </c>
      <c r="E5">
        <f t="shared" si="0"/>
        <v>4.2222222220000001</v>
      </c>
      <c r="F5">
        <v>1.7777777779999999</v>
      </c>
      <c r="G5">
        <v>0.76011695000000001</v>
      </c>
      <c r="H5">
        <v>1</v>
      </c>
      <c r="I5">
        <v>4</v>
      </c>
      <c r="J5">
        <v>14</v>
      </c>
      <c r="K5">
        <v>17</v>
      </c>
      <c r="L5">
        <v>4</v>
      </c>
      <c r="M5">
        <v>1</v>
      </c>
      <c r="N5">
        <v>0</v>
      </c>
      <c r="P5">
        <v>0</v>
      </c>
    </row>
    <row r="6" spans="1:16" x14ac:dyDescent="0.35">
      <c r="A6" t="s">
        <v>49</v>
      </c>
      <c r="B6" t="s">
        <v>50</v>
      </c>
      <c r="C6">
        <v>36</v>
      </c>
      <c r="D6">
        <v>0</v>
      </c>
      <c r="E6" s="2">
        <f t="shared" si="0"/>
        <v>3</v>
      </c>
      <c r="F6">
        <v>3</v>
      </c>
      <c r="G6">
        <v>1.2188988000000001</v>
      </c>
      <c r="H6">
        <v>1</v>
      </c>
      <c r="I6">
        <v>5</v>
      </c>
      <c r="J6">
        <v>4</v>
      </c>
      <c r="K6">
        <v>10</v>
      </c>
      <c r="L6">
        <v>8</v>
      </c>
      <c r="M6">
        <v>10</v>
      </c>
      <c r="N6">
        <v>4</v>
      </c>
      <c r="P6">
        <v>0</v>
      </c>
    </row>
    <row r="7" spans="1:16" x14ac:dyDescent="0.35">
      <c r="A7" t="s">
        <v>109</v>
      </c>
      <c r="B7" t="s">
        <v>110</v>
      </c>
      <c r="C7">
        <v>36</v>
      </c>
      <c r="D7">
        <v>0</v>
      </c>
      <c r="E7" s="5">
        <f t="shared" si="0"/>
        <v>4.4722222220000001</v>
      </c>
      <c r="F7">
        <v>1.5277777779999999</v>
      </c>
      <c r="G7">
        <v>0.60879793100000001</v>
      </c>
      <c r="H7">
        <v>1</v>
      </c>
      <c r="I7">
        <v>3</v>
      </c>
      <c r="J7">
        <v>19</v>
      </c>
      <c r="K7">
        <v>15</v>
      </c>
      <c r="L7">
        <v>2</v>
      </c>
      <c r="M7">
        <v>0</v>
      </c>
      <c r="N7">
        <v>0</v>
      </c>
      <c r="P7">
        <v>0</v>
      </c>
    </row>
    <row r="8" spans="1:16" x14ac:dyDescent="0.35">
      <c r="A8" t="s">
        <v>373</v>
      </c>
      <c r="B8" t="s">
        <v>374</v>
      </c>
      <c r="C8">
        <v>36</v>
      </c>
      <c r="D8">
        <v>0</v>
      </c>
      <c r="E8">
        <f t="shared" si="0"/>
        <v>4.2222222220000001</v>
      </c>
      <c r="F8">
        <v>1.7777777779999999</v>
      </c>
      <c r="G8">
        <v>0.63745525800000002</v>
      </c>
      <c r="H8">
        <v>1</v>
      </c>
      <c r="I8">
        <v>3</v>
      </c>
      <c r="J8">
        <v>12</v>
      </c>
      <c r="K8">
        <v>20</v>
      </c>
      <c r="L8">
        <v>4</v>
      </c>
      <c r="M8">
        <v>0</v>
      </c>
      <c r="N8">
        <v>0</v>
      </c>
      <c r="P8">
        <v>0</v>
      </c>
    </row>
    <row r="9" spans="1:16" x14ac:dyDescent="0.35">
      <c r="A9" t="s">
        <v>157</v>
      </c>
      <c r="B9" t="s">
        <v>158</v>
      </c>
      <c r="C9">
        <v>36</v>
      </c>
      <c r="D9">
        <v>0</v>
      </c>
      <c r="E9">
        <f t="shared" si="0"/>
        <v>3.0833333330000001</v>
      </c>
      <c r="F9">
        <v>2.9166666669999999</v>
      </c>
      <c r="G9">
        <v>1.317465098</v>
      </c>
      <c r="H9">
        <v>1</v>
      </c>
      <c r="I9">
        <v>5</v>
      </c>
      <c r="J9">
        <v>6</v>
      </c>
      <c r="K9">
        <v>10</v>
      </c>
      <c r="L9">
        <v>5</v>
      </c>
      <c r="M9">
        <v>11</v>
      </c>
      <c r="N9">
        <v>4</v>
      </c>
      <c r="P9">
        <v>0</v>
      </c>
    </row>
    <row r="10" spans="1:16" x14ac:dyDescent="0.35">
      <c r="A10" t="s">
        <v>145</v>
      </c>
      <c r="B10" t="s">
        <v>146</v>
      </c>
      <c r="C10">
        <v>36</v>
      </c>
      <c r="D10">
        <v>0</v>
      </c>
      <c r="E10">
        <f t="shared" si="0"/>
        <v>4.1944444440000002</v>
      </c>
      <c r="F10">
        <v>1.8055555560000001</v>
      </c>
      <c r="G10">
        <v>0.82182530099999995</v>
      </c>
      <c r="H10">
        <v>1</v>
      </c>
      <c r="I10">
        <v>4</v>
      </c>
      <c r="J10">
        <v>14</v>
      </c>
      <c r="K10">
        <v>17</v>
      </c>
      <c r="L10">
        <v>3</v>
      </c>
      <c r="M10">
        <v>2</v>
      </c>
      <c r="N10">
        <v>0</v>
      </c>
      <c r="P10">
        <v>0</v>
      </c>
    </row>
    <row r="11" spans="1:16" x14ac:dyDescent="0.35">
      <c r="A11" t="s">
        <v>169</v>
      </c>
      <c r="B11" t="s">
        <v>170</v>
      </c>
      <c r="C11">
        <v>36</v>
      </c>
      <c r="D11">
        <v>0</v>
      </c>
      <c r="E11">
        <f t="shared" si="0"/>
        <v>4.3888888890000004</v>
      </c>
      <c r="F11">
        <v>1.611111111</v>
      </c>
      <c r="G11">
        <v>0.68776149399999997</v>
      </c>
      <c r="H11">
        <v>1</v>
      </c>
      <c r="I11">
        <v>3</v>
      </c>
      <c r="J11">
        <v>18</v>
      </c>
      <c r="K11">
        <v>14</v>
      </c>
      <c r="L11">
        <v>4</v>
      </c>
      <c r="M11">
        <v>0</v>
      </c>
      <c r="N11">
        <v>0</v>
      </c>
      <c r="P11">
        <v>0</v>
      </c>
    </row>
    <row r="12" spans="1:16" x14ac:dyDescent="0.35">
      <c r="A12" t="s">
        <v>97</v>
      </c>
      <c r="B12" t="s">
        <v>98</v>
      </c>
      <c r="C12">
        <v>36</v>
      </c>
      <c r="D12">
        <v>0</v>
      </c>
      <c r="E12">
        <f t="shared" si="0"/>
        <v>4.3611111109999996</v>
      </c>
      <c r="F12">
        <v>1.638888889</v>
      </c>
      <c r="G12">
        <v>0.68254891100000004</v>
      </c>
      <c r="H12">
        <v>1</v>
      </c>
      <c r="I12">
        <v>3</v>
      </c>
      <c r="J12">
        <v>17</v>
      </c>
      <c r="K12">
        <v>15</v>
      </c>
      <c r="L12">
        <v>4</v>
      </c>
      <c r="M12">
        <v>0</v>
      </c>
      <c r="N12">
        <v>0</v>
      </c>
      <c r="P12">
        <v>0</v>
      </c>
    </row>
    <row r="13" spans="1:16" x14ac:dyDescent="0.35">
      <c r="A13" t="s">
        <v>337</v>
      </c>
      <c r="B13" t="s">
        <v>338</v>
      </c>
      <c r="C13">
        <v>36</v>
      </c>
      <c r="D13">
        <v>0</v>
      </c>
      <c r="E13">
        <f t="shared" si="0"/>
        <v>4.0833333329999997</v>
      </c>
      <c r="F13">
        <v>1.9166666670000001</v>
      </c>
      <c r="G13">
        <v>0.90632696700000004</v>
      </c>
      <c r="H13">
        <v>1</v>
      </c>
      <c r="I13">
        <v>5</v>
      </c>
      <c r="J13">
        <v>13</v>
      </c>
      <c r="K13">
        <v>15</v>
      </c>
      <c r="L13">
        <v>7</v>
      </c>
      <c r="M13">
        <v>0</v>
      </c>
      <c r="N13">
        <v>1</v>
      </c>
      <c r="P13">
        <v>0</v>
      </c>
    </row>
    <row r="14" spans="1:16" x14ac:dyDescent="0.35">
      <c r="A14" t="s">
        <v>193</v>
      </c>
      <c r="B14" t="s">
        <v>194</v>
      </c>
      <c r="C14">
        <v>36</v>
      </c>
      <c r="D14">
        <v>0</v>
      </c>
      <c r="E14">
        <f t="shared" si="0"/>
        <v>3.7222222220000001</v>
      </c>
      <c r="F14">
        <v>2.2777777779999999</v>
      </c>
      <c r="G14">
        <v>1.0312575159999999</v>
      </c>
      <c r="H14">
        <v>1</v>
      </c>
      <c r="I14">
        <v>4</v>
      </c>
      <c r="J14">
        <v>9</v>
      </c>
      <c r="K14">
        <v>14</v>
      </c>
      <c r="L14">
        <v>7</v>
      </c>
      <c r="M14">
        <v>6</v>
      </c>
      <c r="N14">
        <v>0</v>
      </c>
      <c r="P14">
        <v>0</v>
      </c>
    </row>
    <row r="15" spans="1:16" x14ac:dyDescent="0.35">
      <c r="A15" t="s">
        <v>313</v>
      </c>
      <c r="B15" t="s">
        <v>314</v>
      </c>
      <c r="C15">
        <v>36</v>
      </c>
      <c r="D15">
        <v>0</v>
      </c>
      <c r="E15">
        <f>6-F15</f>
        <v>3.4166666669999999</v>
      </c>
      <c r="F15">
        <v>2.5833333330000001</v>
      </c>
      <c r="G15">
        <v>0.80622577500000003</v>
      </c>
      <c r="H15">
        <v>1</v>
      </c>
      <c r="I15">
        <v>4</v>
      </c>
      <c r="J15">
        <v>4</v>
      </c>
      <c r="K15">
        <v>10</v>
      </c>
      <c r="L15">
        <v>19</v>
      </c>
      <c r="M15">
        <v>3</v>
      </c>
      <c r="N15">
        <v>0</v>
      </c>
      <c r="P15">
        <v>0</v>
      </c>
    </row>
    <row r="16" spans="1:16" x14ac:dyDescent="0.35">
      <c r="A16" t="s">
        <v>217</v>
      </c>
      <c r="B16" t="s">
        <v>218</v>
      </c>
      <c r="C16">
        <v>36</v>
      </c>
      <c r="D16">
        <v>0</v>
      </c>
      <c r="E16">
        <f t="shared" si="0"/>
        <v>4.0555555559999998</v>
      </c>
      <c r="F16">
        <v>1.9444444439999999</v>
      </c>
      <c r="G16">
        <v>0.98399896799999997</v>
      </c>
      <c r="H16">
        <v>1</v>
      </c>
      <c r="I16">
        <v>5</v>
      </c>
      <c r="J16">
        <v>13</v>
      </c>
      <c r="K16">
        <v>16</v>
      </c>
      <c r="L16">
        <v>4</v>
      </c>
      <c r="M16">
        <v>2</v>
      </c>
      <c r="N16">
        <v>1</v>
      </c>
      <c r="P16">
        <v>0</v>
      </c>
    </row>
    <row r="17" spans="1:16" x14ac:dyDescent="0.35">
      <c r="A17" t="s">
        <v>289</v>
      </c>
      <c r="B17" t="s">
        <v>290</v>
      </c>
      <c r="C17">
        <v>36</v>
      </c>
      <c r="D17">
        <v>0</v>
      </c>
      <c r="E17">
        <f t="shared" si="0"/>
        <v>3.7222222220000001</v>
      </c>
      <c r="F17">
        <v>2.2777777779999999</v>
      </c>
      <c r="G17">
        <v>1.085254706</v>
      </c>
      <c r="H17">
        <v>1</v>
      </c>
      <c r="I17">
        <v>5</v>
      </c>
      <c r="J17">
        <v>10</v>
      </c>
      <c r="K17">
        <v>12</v>
      </c>
      <c r="L17">
        <v>9</v>
      </c>
      <c r="M17">
        <v>4</v>
      </c>
      <c r="N17">
        <v>1</v>
      </c>
      <c r="P17">
        <v>0</v>
      </c>
    </row>
    <row r="18" spans="1:16" x14ac:dyDescent="0.35">
      <c r="A18" t="s">
        <v>241</v>
      </c>
      <c r="B18" t="s">
        <v>242</v>
      </c>
      <c r="C18">
        <v>36</v>
      </c>
      <c r="D18">
        <v>0</v>
      </c>
      <c r="E18">
        <f t="shared" si="0"/>
        <v>3.7222222220000001</v>
      </c>
      <c r="F18">
        <v>2.2777777779999999</v>
      </c>
      <c r="G18">
        <v>1.085254706</v>
      </c>
      <c r="H18">
        <v>1</v>
      </c>
      <c r="I18">
        <v>5</v>
      </c>
      <c r="J18">
        <v>8</v>
      </c>
      <c r="K18">
        <v>17</v>
      </c>
      <c r="L18">
        <v>6</v>
      </c>
      <c r="M18">
        <v>3</v>
      </c>
      <c r="N18">
        <v>2</v>
      </c>
      <c r="P18">
        <v>0</v>
      </c>
    </row>
    <row r="19" spans="1:16" x14ac:dyDescent="0.35">
      <c r="A19" t="s">
        <v>265</v>
      </c>
      <c r="B19" t="s">
        <v>266</v>
      </c>
      <c r="C19">
        <v>36</v>
      </c>
      <c r="D19">
        <v>0</v>
      </c>
      <c r="E19">
        <f t="shared" si="0"/>
        <v>4.0833333329999997</v>
      </c>
      <c r="F19">
        <v>1.9166666670000001</v>
      </c>
      <c r="G19">
        <v>0.76997216999999996</v>
      </c>
      <c r="H19">
        <v>1</v>
      </c>
      <c r="I19">
        <v>4</v>
      </c>
      <c r="J19">
        <v>10</v>
      </c>
      <c r="K19">
        <v>21</v>
      </c>
      <c r="L19">
        <v>3</v>
      </c>
      <c r="M19">
        <v>2</v>
      </c>
      <c r="N19">
        <v>0</v>
      </c>
      <c r="P19">
        <v>0</v>
      </c>
    </row>
    <row r="22" spans="1:16" x14ac:dyDescent="0.35">
      <c r="H22" t="s">
        <v>505</v>
      </c>
    </row>
    <row r="23" spans="1:16" x14ac:dyDescent="0.35">
      <c r="F23" t="s">
        <v>503</v>
      </c>
      <c r="G23">
        <f>SUM(F2:F19)</f>
        <v>38.888888891000008</v>
      </c>
    </row>
    <row r="24" spans="1:16" x14ac:dyDescent="0.35">
      <c r="F24" t="s">
        <v>504</v>
      </c>
      <c r="G24">
        <f>G23/18</f>
        <v>2.1604938272777781</v>
      </c>
      <c r="H24">
        <f>6-G24</f>
        <v>3.8395061727222219</v>
      </c>
    </row>
    <row r="26" spans="1:16" x14ac:dyDescent="0.35">
      <c r="F26" t="s">
        <v>502</v>
      </c>
      <c r="G26">
        <f>SUM(G2:G19)</f>
        <v>17.128941481999998</v>
      </c>
    </row>
    <row r="27" spans="1:16" x14ac:dyDescent="0.35">
      <c r="F27" t="s">
        <v>501</v>
      </c>
      <c r="G27">
        <f>SUM(G26/18)</f>
        <v>0.95160786011111098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3AD6-3A15-4152-9FA8-5A1B0666C903}">
  <dimension ref="A1:P27"/>
  <sheetViews>
    <sheetView topLeftCell="A7" workbookViewId="0">
      <selection activeCell="C21" sqref="C21:C22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505</v>
      </c>
      <c r="F1" t="s">
        <v>4</v>
      </c>
      <c r="G1" t="s">
        <v>5</v>
      </c>
      <c r="H1" t="s">
        <v>6</v>
      </c>
      <c r="I1" t="s">
        <v>7</v>
      </c>
      <c r="J1">
        <v>1</v>
      </c>
      <c r="K1">
        <v>2</v>
      </c>
      <c r="L1">
        <v>3</v>
      </c>
      <c r="M1">
        <v>4</v>
      </c>
      <c r="N1">
        <v>5</v>
      </c>
      <c r="O1">
        <v>22</v>
      </c>
      <c r="P1" t="s">
        <v>8</v>
      </c>
    </row>
    <row r="2" spans="1:16" x14ac:dyDescent="0.35">
      <c r="A2" t="s">
        <v>59</v>
      </c>
      <c r="B2" t="s">
        <v>60</v>
      </c>
      <c r="C2">
        <v>36</v>
      </c>
      <c r="D2">
        <v>0</v>
      </c>
      <c r="E2" s="5">
        <f>6-F2</f>
        <v>4.4444444440000002</v>
      </c>
      <c r="F2">
        <v>1.5555555560000001</v>
      </c>
      <c r="G2">
        <v>0.69465076299999995</v>
      </c>
      <c r="H2">
        <v>1</v>
      </c>
      <c r="I2">
        <v>3</v>
      </c>
      <c r="J2">
        <v>20</v>
      </c>
      <c r="K2">
        <v>12</v>
      </c>
      <c r="L2">
        <v>4</v>
      </c>
      <c r="M2">
        <v>0</v>
      </c>
      <c r="N2">
        <v>0</v>
      </c>
      <c r="P2">
        <v>0</v>
      </c>
    </row>
    <row r="3" spans="1:16" x14ac:dyDescent="0.35">
      <c r="A3" t="s">
        <v>445</v>
      </c>
      <c r="B3" t="s">
        <v>446</v>
      </c>
      <c r="C3">
        <v>36</v>
      </c>
      <c r="D3">
        <v>0</v>
      </c>
      <c r="E3">
        <f t="shared" ref="E3:E19" si="0">6-F3</f>
        <v>4.2777777779999999</v>
      </c>
      <c r="F3">
        <v>1.7222222220000001</v>
      </c>
      <c r="G3">
        <v>0.70147237399999995</v>
      </c>
      <c r="H3">
        <v>1</v>
      </c>
      <c r="I3">
        <v>3</v>
      </c>
      <c r="J3">
        <v>15</v>
      </c>
      <c r="K3">
        <v>16</v>
      </c>
      <c r="L3">
        <v>5</v>
      </c>
      <c r="M3">
        <v>0</v>
      </c>
      <c r="N3">
        <v>0</v>
      </c>
      <c r="P3">
        <v>0</v>
      </c>
    </row>
    <row r="4" spans="1:16" x14ac:dyDescent="0.35">
      <c r="A4" t="s">
        <v>85</v>
      </c>
      <c r="B4" t="s">
        <v>86</v>
      </c>
      <c r="C4">
        <v>36</v>
      </c>
      <c r="D4">
        <v>0</v>
      </c>
      <c r="E4" s="2">
        <f t="shared" si="0"/>
        <v>2.8333333330000001</v>
      </c>
      <c r="F4">
        <v>3.1666666669999999</v>
      </c>
      <c r="G4">
        <v>1.4832396969999999</v>
      </c>
      <c r="H4">
        <v>1</v>
      </c>
      <c r="I4">
        <v>5</v>
      </c>
      <c r="J4">
        <v>8</v>
      </c>
      <c r="K4">
        <v>5</v>
      </c>
      <c r="L4">
        <v>3</v>
      </c>
      <c r="M4">
        <v>13</v>
      </c>
      <c r="N4">
        <v>7</v>
      </c>
      <c r="P4">
        <v>0</v>
      </c>
    </row>
    <row r="5" spans="1:16" x14ac:dyDescent="0.35">
      <c r="A5" t="s">
        <v>421</v>
      </c>
      <c r="B5" t="s">
        <v>422</v>
      </c>
      <c r="C5">
        <v>36</v>
      </c>
      <c r="D5">
        <v>0</v>
      </c>
      <c r="E5">
        <f t="shared" si="0"/>
        <v>4.0833333329999997</v>
      </c>
      <c r="F5">
        <v>1.9166666670000001</v>
      </c>
      <c r="G5">
        <v>0.93732141199999996</v>
      </c>
      <c r="H5">
        <v>1</v>
      </c>
      <c r="I5">
        <v>4</v>
      </c>
      <c r="J5">
        <v>14</v>
      </c>
      <c r="K5">
        <v>14</v>
      </c>
      <c r="L5">
        <v>5</v>
      </c>
      <c r="M5">
        <v>3</v>
      </c>
      <c r="N5">
        <v>0</v>
      </c>
      <c r="P5">
        <v>0</v>
      </c>
    </row>
    <row r="6" spans="1:16" x14ac:dyDescent="0.35">
      <c r="A6" t="s">
        <v>409</v>
      </c>
      <c r="B6" t="s">
        <v>410</v>
      </c>
      <c r="C6">
        <v>36</v>
      </c>
      <c r="D6">
        <v>0</v>
      </c>
      <c r="E6">
        <f t="shared" si="0"/>
        <v>3.4444444440000002</v>
      </c>
      <c r="F6">
        <v>2.5555555559999998</v>
      </c>
      <c r="G6">
        <v>1.1574465599999999</v>
      </c>
      <c r="H6">
        <v>1</v>
      </c>
      <c r="I6">
        <v>5</v>
      </c>
      <c r="J6">
        <v>6</v>
      </c>
      <c r="K6">
        <v>15</v>
      </c>
      <c r="L6">
        <v>6</v>
      </c>
      <c r="M6">
        <v>7</v>
      </c>
      <c r="N6">
        <v>2</v>
      </c>
      <c r="P6">
        <v>0</v>
      </c>
    </row>
    <row r="7" spans="1:16" x14ac:dyDescent="0.35">
      <c r="A7" t="s">
        <v>37</v>
      </c>
      <c r="B7" t="s">
        <v>38</v>
      </c>
      <c r="C7">
        <v>36</v>
      </c>
      <c r="D7">
        <v>0</v>
      </c>
      <c r="E7">
        <f t="shared" si="0"/>
        <v>4.2222222220000001</v>
      </c>
      <c r="F7">
        <v>1.7777777779999999</v>
      </c>
      <c r="G7">
        <v>0.86556706800000005</v>
      </c>
      <c r="H7">
        <v>1</v>
      </c>
      <c r="I7">
        <v>4</v>
      </c>
      <c r="J7">
        <v>15</v>
      </c>
      <c r="K7">
        <v>17</v>
      </c>
      <c r="L7">
        <v>1</v>
      </c>
      <c r="M7">
        <v>3</v>
      </c>
      <c r="N7">
        <v>0</v>
      </c>
      <c r="P7">
        <v>0</v>
      </c>
    </row>
    <row r="8" spans="1:16" x14ac:dyDescent="0.35">
      <c r="A8" t="s">
        <v>385</v>
      </c>
      <c r="B8" t="s">
        <v>386</v>
      </c>
      <c r="C8">
        <v>36</v>
      </c>
      <c r="D8">
        <v>0</v>
      </c>
      <c r="E8">
        <f t="shared" si="0"/>
        <v>4.1388888890000004</v>
      </c>
      <c r="F8">
        <v>1.861111111</v>
      </c>
      <c r="G8">
        <v>0.89929425600000001</v>
      </c>
      <c r="H8">
        <v>1</v>
      </c>
      <c r="I8">
        <v>4</v>
      </c>
      <c r="J8">
        <v>15</v>
      </c>
      <c r="K8">
        <v>13</v>
      </c>
      <c r="L8">
        <v>6</v>
      </c>
      <c r="M8">
        <v>2</v>
      </c>
      <c r="N8">
        <v>0</v>
      </c>
      <c r="P8">
        <v>0</v>
      </c>
    </row>
    <row r="9" spans="1:16" x14ac:dyDescent="0.35">
      <c r="A9" t="s">
        <v>121</v>
      </c>
      <c r="B9" t="s">
        <v>122</v>
      </c>
      <c r="C9">
        <v>36</v>
      </c>
      <c r="D9">
        <v>0</v>
      </c>
      <c r="E9">
        <f t="shared" si="0"/>
        <v>3.388888889</v>
      </c>
      <c r="F9">
        <v>2.611111111</v>
      </c>
      <c r="G9">
        <v>1.049565292</v>
      </c>
      <c r="H9">
        <v>1</v>
      </c>
      <c r="I9">
        <v>5</v>
      </c>
      <c r="J9">
        <v>5</v>
      </c>
      <c r="K9">
        <v>13</v>
      </c>
      <c r="L9">
        <v>10</v>
      </c>
      <c r="M9">
        <v>7</v>
      </c>
      <c r="N9">
        <v>1</v>
      </c>
      <c r="P9">
        <v>0</v>
      </c>
    </row>
    <row r="10" spans="1:16" x14ac:dyDescent="0.35">
      <c r="A10" t="s">
        <v>361</v>
      </c>
      <c r="B10" t="s">
        <v>362</v>
      </c>
      <c r="C10">
        <v>36</v>
      </c>
      <c r="D10">
        <v>0</v>
      </c>
      <c r="E10">
        <f t="shared" si="0"/>
        <v>4.0277777779999999</v>
      </c>
      <c r="F10">
        <v>1.9722222220000001</v>
      </c>
      <c r="G10">
        <v>1.081958835</v>
      </c>
      <c r="H10">
        <v>1</v>
      </c>
      <c r="I10">
        <v>5</v>
      </c>
      <c r="J10">
        <v>15</v>
      </c>
      <c r="K10">
        <v>12</v>
      </c>
      <c r="L10">
        <v>5</v>
      </c>
      <c r="M10">
        <v>3</v>
      </c>
      <c r="N10">
        <v>1</v>
      </c>
      <c r="P10">
        <v>0</v>
      </c>
    </row>
    <row r="11" spans="1:16" x14ac:dyDescent="0.35">
      <c r="A11" t="s">
        <v>133</v>
      </c>
      <c r="B11" t="s">
        <v>134</v>
      </c>
      <c r="C11">
        <v>36</v>
      </c>
      <c r="D11">
        <v>0</v>
      </c>
      <c r="E11">
        <f t="shared" si="0"/>
        <v>2.861111111</v>
      </c>
      <c r="F11">
        <v>3.138888889</v>
      </c>
      <c r="G11">
        <v>1.3126369920000001</v>
      </c>
      <c r="H11">
        <v>1</v>
      </c>
      <c r="I11">
        <v>5</v>
      </c>
      <c r="J11">
        <v>5</v>
      </c>
      <c r="K11">
        <v>7</v>
      </c>
      <c r="L11">
        <v>8</v>
      </c>
      <c r="M11">
        <v>10</v>
      </c>
      <c r="N11">
        <v>6</v>
      </c>
      <c r="P11">
        <v>0</v>
      </c>
    </row>
    <row r="12" spans="1:16" x14ac:dyDescent="0.35">
      <c r="A12" t="s">
        <v>349</v>
      </c>
      <c r="B12" t="s">
        <v>350</v>
      </c>
      <c r="C12">
        <v>36</v>
      </c>
      <c r="D12">
        <v>0</v>
      </c>
      <c r="E12">
        <f t="shared" si="0"/>
        <v>3.8333333330000001</v>
      </c>
      <c r="F12">
        <v>2.1666666669999999</v>
      </c>
      <c r="G12">
        <v>0.84515425499999997</v>
      </c>
      <c r="H12">
        <v>1</v>
      </c>
      <c r="I12">
        <v>4</v>
      </c>
      <c r="J12">
        <v>7</v>
      </c>
      <c r="K12">
        <v>19</v>
      </c>
      <c r="L12">
        <v>7</v>
      </c>
      <c r="M12">
        <v>3</v>
      </c>
      <c r="N12">
        <v>0</v>
      </c>
      <c r="P12">
        <v>0</v>
      </c>
    </row>
    <row r="13" spans="1:16" x14ac:dyDescent="0.35">
      <c r="A13" t="s">
        <v>181</v>
      </c>
      <c r="B13" t="s">
        <v>182</v>
      </c>
      <c r="C13">
        <v>36</v>
      </c>
      <c r="D13">
        <v>0</v>
      </c>
      <c r="E13">
        <f t="shared" si="0"/>
        <v>3.9166666669999999</v>
      </c>
      <c r="F13">
        <v>2.0833333330000001</v>
      </c>
      <c r="G13">
        <v>1.0522085619999999</v>
      </c>
      <c r="H13">
        <v>1</v>
      </c>
      <c r="I13">
        <v>5</v>
      </c>
      <c r="J13">
        <v>12</v>
      </c>
      <c r="K13">
        <v>14</v>
      </c>
      <c r="L13">
        <v>6</v>
      </c>
      <c r="M13">
        <v>3</v>
      </c>
      <c r="N13">
        <v>1</v>
      </c>
      <c r="P13">
        <v>0</v>
      </c>
    </row>
    <row r="14" spans="1:16" x14ac:dyDescent="0.35">
      <c r="A14" t="s">
        <v>325</v>
      </c>
      <c r="B14" t="s">
        <v>326</v>
      </c>
      <c r="C14">
        <v>36</v>
      </c>
      <c r="D14">
        <v>0</v>
      </c>
      <c r="E14">
        <f t="shared" si="0"/>
        <v>4.2222222220000001</v>
      </c>
      <c r="F14">
        <v>1.7777777779999999</v>
      </c>
      <c r="G14">
        <v>0.79681907299999999</v>
      </c>
      <c r="H14">
        <v>1</v>
      </c>
      <c r="I14">
        <v>4</v>
      </c>
      <c r="J14">
        <v>15</v>
      </c>
      <c r="K14">
        <v>15</v>
      </c>
      <c r="L14">
        <v>5</v>
      </c>
      <c r="M14">
        <v>1</v>
      </c>
      <c r="N14">
        <v>0</v>
      </c>
      <c r="P14">
        <v>0</v>
      </c>
    </row>
    <row r="15" spans="1:16" x14ac:dyDescent="0.35">
      <c r="A15" t="s">
        <v>205</v>
      </c>
      <c r="B15" t="s">
        <v>206</v>
      </c>
      <c r="C15">
        <v>36</v>
      </c>
      <c r="D15">
        <v>0</v>
      </c>
      <c r="E15">
        <f>6-F15</f>
        <v>4.0277777779999999</v>
      </c>
      <c r="F15">
        <v>1.9722222220000001</v>
      </c>
      <c r="G15">
        <v>0.94070220299999996</v>
      </c>
      <c r="H15">
        <v>1</v>
      </c>
      <c r="I15">
        <v>4</v>
      </c>
      <c r="J15">
        <v>13</v>
      </c>
      <c r="K15">
        <v>14</v>
      </c>
      <c r="L15">
        <v>6</v>
      </c>
      <c r="M15">
        <v>3</v>
      </c>
      <c r="N15">
        <v>0</v>
      </c>
      <c r="P15">
        <v>0</v>
      </c>
    </row>
    <row r="16" spans="1:16" x14ac:dyDescent="0.35">
      <c r="A16" t="s">
        <v>301</v>
      </c>
      <c r="B16" t="s">
        <v>302</v>
      </c>
      <c r="C16">
        <v>36</v>
      </c>
      <c r="D16">
        <v>0</v>
      </c>
      <c r="E16">
        <f t="shared" si="0"/>
        <v>3.888888889</v>
      </c>
      <c r="F16">
        <v>2.111111111</v>
      </c>
      <c r="G16">
        <v>1.1155467020000001</v>
      </c>
      <c r="H16">
        <v>1</v>
      </c>
      <c r="I16">
        <v>5</v>
      </c>
      <c r="J16">
        <v>11</v>
      </c>
      <c r="K16">
        <v>17</v>
      </c>
      <c r="L16">
        <v>3</v>
      </c>
      <c r="M16">
        <v>3</v>
      </c>
      <c r="N16">
        <v>2</v>
      </c>
      <c r="P16">
        <v>0</v>
      </c>
    </row>
    <row r="17" spans="1:16" x14ac:dyDescent="0.35">
      <c r="A17" t="s">
        <v>229</v>
      </c>
      <c r="B17" t="s">
        <v>230</v>
      </c>
      <c r="C17">
        <v>36</v>
      </c>
      <c r="D17">
        <v>0</v>
      </c>
      <c r="E17">
        <f t="shared" si="0"/>
        <v>3.6666666669999999</v>
      </c>
      <c r="F17">
        <v>2.3333333330000001</v>
      </c>
      <c r="G17">
        <v>1.146423008</v>
      </c>
      <c r="H17">
        <v>1</v>
      </c>
      <c r="I17">
        <v>5</v>
      </c>
      <c r="J17">
        <v>9</v>
      </c>
      <c r="K17">
        <v>14</v>
      </c>
      <c r="L17">
        <v>7</v>
      </c>
      <c r="M17">
        <v>4</v>
      </c>
      <c r="N17">
        <v>2</v>
      </c>
      <c r="P17">
        <v>0</v>
      </c>
    </row>
    <row r="18" spans="1:16" x14ac:dyDescent="0.35">
      <c r="A18" t="s">
        <v>277</v>
      </c>
      <c r="B18" t="s">
        <v>278</v>
      </c>
      <c r="C18">
        <v>36</v>
      </c>
      <c r="D18">
        <v>0</v>
      </c>
      <c r="E18">
        <f t="shared" si="0"/>
        <v>3.1944444440000002</v>
      </c>
      <c r="F18">
        <v>2.8055555559999998</v>
      </c>
      <c r="G18">
        <v>1.064208477</v>
      </c>
      <c r="H18">
        <v>1</v>
      </c>
      <c r="I18">
        <v>5</v>
      </c>
      <c r="J18">
        <v>3</v>
      </c>
      <c r="K18">
        <v>12</v>
      </c>
      <c r="L18">
        <v>13</v>
      </c>
      <c r="M18">
        <v>5</v>
      </c>
      <c r="N18">
        <v>3</v>
      </c>
      <c r="P18">
        <v>0</v>
      </c>
    </row>
    <row r="19" spans="1:16" x14ac:dyDescent="0.35">
      <c r="A19" t="s">
        <v>253</v>
      </c>
      <c r="B19" t="s">
        <v>254</v>
      </c>
      <c r="C19">
        <v>36</v>
      </c>
      <c r="D19">
        <v>0</v>
      </c>
      <c r="E19">
        <f t="shared" si="0"/>
        <v>3.861111111</v>
      </c>
      <c r="F19">
        <v>2.138888889</v>
      </c>
      <c r="G19">
        <v>1.0461569879999999</v>
      </c>
      <c r="H19">
        <v>1</v>
      </c>
      <c r="I19">
        <v>5</v>
      </c>
      <c r="J19">
        <v>10</v>
      </c>
      <c r="K19">
        <v>17</v>
      </c>
      <c r="L19">
        <v>4</v>
      </c>
      <c r="M19">
        <v>4</v>
      </c>
      <c r="N19">
        <v>1</v>
      </c>
      <c r="P19">
        <v>0</v>
      </c>
    </row>
    <row r="22" spans="1:16" x14ac:dyDescent="0.35">
      <c r="H22" t="s">
        <v>505</v>
      </c>
    </row>
    <row r="23" spans="1:16" x14ac:dyDescent="0.35">
      <c r="F23" t="s">
        <v>503</v>
      </c>
      <c r="G23">
        <f>SUM(F2:F19)</f>
        <v>39.666666667999998</v>
      </c>
    </row>
    <row r="24" spans="1:16" x14ac:dyDescent="0.35">
      <c r="F24" t="s">
        <v>504</v>
      </c>
      <c r="G24">
        <f>G23/18</f>
        <v>2.2037037037777778</v>
      </c>
      <c r="H24">
        <f>6-G24</f>
        <v>3.7962962962222222</v>
      </c>
    </row>
    <row r="26" spans="1:16" x14ac:dyDescent="0.35">
      <c r="F26" t="s">
        <v>502</v>
      </c>
      <c r="G26">
        <f>SUM(G2:G19)</f>
        <v>18.190372517000004</v>
      </c>
    </row>
    <row r="27" spans="1:16" x14ac:dyDescent="0.35">
      <c r="F27" t="s">
        <v>501</v>
      </c>
      <c r="G27">
        <f>SUM(G26/18)</f>
        <v>1.0105762509444447</v>
      </c>
    </row>
  </sheetData>
  <autoFilter ref="A1:P1" xr:uid="{52663AD6-3A15-4152-9FA8-5A1B0666C903}">
    <sortState xmlns:xlrd2="http://schemas.microsoft.com/office/spreadsheetml/2017/richdata2" ref="A2:P19">
      <sortCondition ref="A1"/>
    </sortState>
  </autoFilter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B01FA-0F51-46E2-8A55-BF1FD969A3DB}">
  <dimension ref="A1:P27"/>
  <sheetViews>
    <sheetView topLeftCell="A4" workbookViewId="0">
      <selection activeCell="C21" sqref="C21:C22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505</v>
      </c>
      <c r="F1" t="s">
        <v>4</v>
      </c>
      <c r="G1" t="s">
        <v>5</v>
      </c>
      <c r="H1" t="s">
        <v>6</v>
      </c>
      <c r="I1" t="s">
        <v>7</v>
      </c>
      <c r="J1">
        <v>1</v>
      </c>
      <c r="K1">
        <v>2</v>
      </c>
      <c r="L1">
        <v>3</v>
      </c>
      <c r="M1">
        <v>4</v>
      </c>
      <c r="N1">
        <v>5</v>
      </c>
      <c r="O1">
        <v>22</v>
      </c>
      <c r="P1" t="s">
        <v>8</v>
      </c>
    </row>
    <row r="2" spans="1:16" x14ac:dyDescent="0.35">
      <c r="A2" t="s">
        <v>25</v>
      </c>
      <c r="B2" t="s">
        <v>26</v>
      </c>
      <c r="C2">
        <v>36</v>
      </c>
      <c r="D2">
        <v>0</v>
      </c>
      <c r="E2">
        <f>6-F2</f>
        <v>4.3333333329999997</v>
      </c>
      <c r="F2">
        <v>1.6666666670000001</v>
      </c>
      <c r="G2">
        <v>0.82807867099999999</v>
      </c>
      <c r="H2">
        <v>1</v>
      </c>
      <c r="I2">
        <v>5</v>
      </c>
      <c r="J2">
        <v>17</v>
      </c>
      <c r="K2">
        <v>16</v>
      </c>
      <c r="L2">
        <v>2</v>
      </c>
      <c r="M2">
        <v>0</v>
      </c>
      <c r="N2">
        <v>1</v>
      </c>
      <c r="P2">
        <v>0</v>
      </c>
    </row>
    <row r="3" spans="1:16" x14ac:dyDescent="0.35">
      <c r="A3" t="s">
        <v>423</v>
      </c>
      <c r="B3" t="s">
        <v>424</v>
      </c>
      <c r="C3">
        <v>36</v>
      </c>
      <c r="D3">
        <v>0</v>
      </c>
      <c r="E3">
        <f t="shared" ref="E3:E19" si="0">6-F3</f>
        <v>4.1388888890000004</v>
      </c>
      <c r="F3">
        <v>1.861111111</v>
      </c>
      <c r="G3">
        <v>0.96073715100000001</v>
      </c>
      <c r="H3">
        <v>1</v>
      </c>
      <c r="I3">
        <v>5</v>
      </c>
      <c r="J3">
        <v>15</v>
      </c>
      <c r="K3">
        <v>14</v>
      </c>
      <c r="L3">
        <v>5</v>
      </c>
      <c r="M3">
        <v>1</v>
      </c>
      <c r="N3">
        <v>1</v>
      </c>
      <c r="P3">
        <v>0</v>
      </c>
    </row>
    <row r="4" spans="1:16" x14ac:dyDescent="0.35">
      <c r="A4" t="s">
        <v>63</v>
      </c>
      <c r="B4" t="s">
        <v>64</v>
      </c>
      <c r="C4">
        <v>36</v>
      </c>
      <c r="D4">
        <v>0</v>
      </c>
      <c r="E4">
        <f t="shared" si="0"/>
        <v>3.4444444440000002</v>
      </c>
      <c r="F4">
        <v>2.5555555559999998</v>
      </c>
      <c r="G4">
        <v>1.3404571599999999</v>
      </c>
      <c r="H4">
        <v>1</v>
      </c>
      <c r="I4">
        <v>5</v>
      </c>
      <c r="J4">
        <v>10</v>
      </c>
      <c r="K4">
        <v>10</v>
      </c>
      <c r="L4">
        <v>5</v>
      </c>
      <c r="M4">
        <v>8</v>
      </c>
      <c r="N4">
        <v>3</v>
      </c>
      <c r="P4">
        <v>0</v>
      </c>
    </row>
    <row r="5" spans="1:16" x14ac:dyDescent="0.35">
      <c r="A5" t="s">
        <v>387</v>
      </c>
      <c r="B5" t="s">
        <v>388</v>
      </c>
      <c r="C5">
        <v>36</v>
      </c>
      <c r="D5">
        <v>0</v>
      </c>
      <c r="E5">
        <f t="shared" si="0"/>
        <v>4.5555555559999998</v>
      </c>
      <c r="F5">
        <v>1.4444444439999999</v>
      </c>
      <c r="G5">
        <v>0.55777335100000003</v>
      </c>
      <c r="H5">
        <v>1</v>
      </c>
      <c r="I5">
        <v>3</v>
      </c>
      <c r="J5">
        <v>21</v>
      </c>
      <c r="K5">
        <v>14</v>
      </c>
      <c r="L5">
        <v>1</v>
      </c>
      <c r="M5">
        <v>0</v>
      </c>
      <c r="N5">
        <v>0</v>
      </c>
      <c r="P5">
        <v>0</v>
      </c>
    </row>
    <row r="6" spans="1:16" x14ac:dyDescent="0.35">
      <c r="A6" t="s">
        <v>39</v>
      </c>
      <c r="B6" t="s">
        <v>40</v>
      </c>
      <c r="C6">
        <v>36</v>
      </c>
      <c r="D6">
        <v>0</v>
      </c>
      <c r="E6">
        <f t="shared" si="0"/>
        <v>3.4444444440000002</v>
      </c>
      <c r="F6">
        <v>2.5555555559999998</v>
      </c>
      <c r="G6">
        <v>1.3824294239999999</v>
      </c>
      <c r="H6">
        <v>1</v>
      </c>
      <c r="I6">
        <v>5</v>
      </c>
      <c r="J6">
        <v>8</v>
      </c>
      <c r="K6">
        <v>15</v>
      </c>
      <c r="L6">
        <v>4</v>
      </c>
      <c r="M6">
        <v>3</v>
      </c>
      <c r="N6">
        <v>6</v>
      </c>
      <c r="P6">
        <v>0</v>
      </c>
    </row>
    <row r="7" spans="1:16" x14ac:dyDescent="0.35">
      <c r="A7" t="s">
        <v>99</v>
      </c>
      <c r="B7" t="s">
        <v>100</v>
      </c>
      <c r="C7">
        <v>36</v>
      </c>
      <c r="D7">
        <v>0</v>
      </c>
      <c r="E7">
        <f t="shared" si="0"/>
        <v>4.3611111109999996</v>
      </c>
      <c r="F7">
        <v>1.638888889</v>
      </c>
      <c r="G7">
        <v>0.866941348</v>
      </c>
      <c r="H7">
        <v>1</v>
      </c>
      <c r="I7">
        <v>5</v>
      </c>
      <c r="J7">
        <v>18</v>
      </c>
      <c r="K7">
        <v>16</v>
      </c>
      <c r="L7">
        <v>0</v>
      </c>
      <c r="M7">
        <v>1</v>
      </c>
      <c r="N7">
        <v>1</v>
      </c>
      <c r="P7">
        <v>0</v>
      </c>
    </row>
    <row r="8" spans="1:16" x14ac:dyDescent="0.35">
      <c r="A8" t="s">
        <v>363</v>
      </c>
      <c r="B8" t="s">
        <v>364</v>
      </c>
      <c r="C8">
        <v>36</v>
      </c>
      <c r="D8">
        <v>0</v>
      </c>
      <c r="E8">
        <f t="shared" si="0"/>
        <v>4.1388888890000004</v>
      </c>
      <c r="F8">
        <v>1.861111111</v>
      </c>
      <c r="G8">
        <v>0.96073715100000001</v>
      </c>
      <c r="H8">
        <v>1</v>
      </c>
      <c r="I8">
        <v>5</v>
      </c>
      <c r="J8">
        <v>13</v>
      </c>
      <c r="K8">
        <v>19</v>
      </c>
      <c r="L8">
        <v>2</v>
      </c>
      <c r="M8">
        <v>0</v>
      </c>
      <c r="N8">
        <v>2</v>
      </c>
      <c r="P8">
        <v>0</v>
      </c>
    </row>
    <row r="9" spans="1:16" x14ac:dyDescent="0.35">
      <c r="A9" t="s">
        <v>147</v>
      </c>
      <c r="B9" t="s">
        <v>148</v>
      </c>
      <c r="C9">
        <v>36</v>
      </c>
      <c r="D9">
        <v>0</v>
      </c>
      <c r="E9" s="2">
        <f t="shared" si="0"/>
        <v>2.9444444440000002</v>
      </c>
      <c r="F9">
        <v>3.0555555559999998</v>
      </c>
      <c r="G9">
        <v>1.472499225</v>
      </c>
      <c r="H9">
        <v>1</v>
      </c>
      <c r="I9">
        <v>5</v>
      </c>
      <c r="J9">
        <v>5</v>
      </c>
      <c r="K9">
        <v>13</v>
      </c>
      <c r="L9">
        <v>2</v>
      </c>
      <c r="M9">
        <v>7</v>
      </c>
      <c r="N9">
        <v>9</v>
      </c>
      <c r="P9">
        <v>0</v>
      </c>
    </row>
    <row r="10" spans="1:16" x14ac:dyDescent="0.35">
      <c r="A10" t="s">
        <v>135</v>
      </c>
      <c r="B10" t="s">
        <v>136</v>
      </c>
      <c r="C10">
        <v>36</v>
      </c>
      <c r="D10">
        <v>0</v>
      </c>
      <c r="E10">
        <f t="shared" si="0"/>
        <v>4.1944444440000002</v>
      </c>
      <c r="F10">
        <v>1.8055555560000001</v>
      </c>
      <c r="G10">
        <v>0.88864083800000004</v>
      </c>
      <c r="H10">
        <v>1</v>
      </c>
      <c r="I10">
        <v>5</v>
      </c>
      <c r="J10">
        <v>14</v>
      </c>
      <c r="K10">
        <v>18</v>
      </c>
      <c r="L10">
        <v>2</v>
      </c>
      <c r="M10">
        <v>1</v>
      </c>
      <c r="N10">
        <v>1</v>
      </c>
      <c r="P10">
        <v>0</v>
      </c>
    </row>
    <row r="11" spans="1:16" x14ac:dyDescent="0.35">
      <c r="A11" t="s">
        <v>159</v>
      </c>
      <c r="B11" t="s">
        <v>160</v>
      </c>
      <c r="C11">
        <v>36</v>
      </c>
      <c r="D11">
        <v>0</v>
      </c>
      <c r="E11">
        <f t="shared" si="0"/>
        <v>4.1944444440000002</v>
      </c>
      <c r="F11">
        <v>1.8055555560000001</v>
      </c>
      <c r="G11">
        <v>0.82182530099999995</v>
      </c>
      <c r="H11">
        <v>1</v>
      </c>
      <c r="I11">
        <v>5</v>
      </c>
      <c r="J11">
        <v>13</v>
      </c>
      <c r="K11">
        <v>19</v>
      </c>
      <c r="L11">
        <v>3</v>
      </c>
      <c r="M11">
        <v>0</v>
      </c>
      <c r="N11">
        <v>1</v>
      </c>
      <c r="P11">
        <v>0</v>
      </c>
    </row>
    <row r="12" spans="1:16" x14ac:dyDescent="0.35">
      <c r="A12" t="s">
        <v>87</v>
      </c>
      <c r="B12" t="s">
        <v>88</v>
      </c>
      <c r="C12">
        <v>36</v>
      </c>
      <c r="D12">
        <v>0</v>
      </c>
      <c r="E12" s="5">
        <f t="shared" si="0"/>
        <v>4.5555555559999998</v>
      </c>
      <c r="F12">
        <v>1.4444444439999999</v>
      </c>
      <c r="G12">
        <v>0.65222452099999995</v>
      </c>
      <c r="H12">
        <v>1</v>
      </c>
      <c r="I12">
        <v>4</v>
      </c>
      <c r="J12">
        <v>22</v>
      </c>
      <c r="K12">
        <v>13</v>
      </c>
      <c r="L12">
        <v>0</v>
      </c>
      <c r="M12">
        <v>1</v>
      </c>
      <c r="N12">
        <v>0</v>
      </c>
      <c r="P12">
        <v>0</v>
      </c>
    </row>
    <row r="13" spans="1:16" x14ac:dyDescent="0.35">
      <c r="A13" t="s">
        <v>327</v>
      </c>
      <c r="B13" t="s">
        <v>328</v>
      </c>
      <c r="C13">
        <v>36</v>
      </c>
      <c r="D13">
        <v>0</v>
      </c>
      <c r="E13">
        <f t="shared" si="0"/>
        <v>4.0833333329999997</v>
      </c>
      <c r="F13">
        <v>1.9166666670000001</v>
      </c>
      <c r="G13">
        <v>0.93732141199999996</v>
      </c>
      <c r="H13">
        <v>1</v>
      </c>
      <c r="I13">
        <v>5</v>
      </c>
      <c r="J13">
        <v>13</v>
      </c>
      <c r="K13">
        <v>16</v>
      </c>
      <c r="L13">
        <v>5</v>
      </c>
      <c r="M13">
        <v>1</v>
      </c>
      <c r="N13">
        <v>1</v>
      </c>
      <c r="P13">
        <v>0</v>
      </c>
    </row>
    <row r="14" spans="1:16" x14ac:dyDescent="0.35">
      <c r="A14" t="s">
        <v>183</v>
      </c>
      <c r="B14" t="s">
        <v>184</v>
      </c>
      <c r="C14">
        <v>36</v>
      </c>
      <c r="D14">
        <v>0</v>
      </c>
      <c r="E14">
        <f t="shared" si="0"/>
        <v>4.0277777779999999</v>
      </c>
      <c r="F14">
        <v>1.9722222220000001</v>
      </c>
      <c r="G14">
        <v>0.84468459399999996</v>
      </c>
      <c r="H14">
        <v>1</v>
      </c>
      <c r="I14">
        <v>4</v>
      </c>
      <c r="J14">
        <v>11</v>
      </c>
      <c r="K14">
        <v>17</v>
      </c>
      <c r="L14">
        <v>6</v>
      </c>
      <c r="M14">
        <v>2</v>
      </c>
      <c r="N14">
        <v>0</v>
      </c>
      <c r="P14">
        <v>0</v>
      </c>
    </row>
    <row r="15" spans="1:16" x14ac:dyDescent="0.35">
      <c r="A15" t="s">
        <v>303</v>
      </c>
      <c r="B15" t="s">
        <v>304</v>
      </c>
      <c r="C15">
        <v>36</v>
      </c>
      <c r="D15">
        <v>0</v>
      </c>
      <c r="E15">
        <f>6-F15</f>
        <v>4.1111111109999996</v>
      </c>
      <c r="F15">
        <v>1.888888889</v>
      </c>
      <c r="G15">
        <v>0.78477577399999998</v>
      </c>
      <c r="H15">
        <v>1</v>
      </c>
      <c r="I15">
        <v>4</v>
      </c>
      <c r="J15">
        <v>11</v>
      </c>
      <c r="K15">
        <v>20</v>
      </c>
      <c r="L15">
        <v>3</v>
      </c>
      <c r="M15">
        <v>2</v>
      </c>
      <c r="N15">
        <v>0</v>
      </c>
      <c r="P15">
        <v>0</v>
      </c>
    </row>
    <row r="16" spans="1:16" x14ac:dyDescent="0.35">
      <c r="A16" t="s">
        <v>207</v>
      </c>
      <c r="B16" t="s">
        <v>208</v>
      </c>
      <c r="C16">
        <v>36</v>
      </c>
      <c r="D16">
        <v>0</v>
      </c>
      <c r="E16">
        <f t="shared" si="0"/>
        <v>4.1111111109999996</v>
      </c>
      <c r="F16">
        <v>1.888888889</v>
      </c>
      <c r="G16">
        <v>0.82037544600000001</v>
      </c>
      <c r="H16">
        <v>1</v>
      </c>
      <c r="I16">
        <v>4</v>
      </c>
      <c r="J16">
        <v>12</v>
      </c>
      <c r="K16">
        <v>18</v>
      </c>
      <c r="L16">
        <v>4</v>
      </c>
      <c r="M16">
        <v>2</v>
      </c>
      <c r="N16">
        <v>0</v>
      </c>
      <c r="P16">
        <v>0</v>
      </c>
    </row>
    <row r="17" spans="1:16" x14ac:dyDescent="0.35">
      <c r="A17" t="s">
        <v>279</v>
      </c>
      <c r="B17" t="s">
        <v>280</v>
      </c>
      <c r="C17">
        <v>36</v>
      </c>
      <c r="D17">
        <v>0</v>
      </c>
      <c r="E17">
        <f t="shared" si="0"/>
        <v>3.9722222220000001</v>
      </c>
      <c r="F17">
        <v>2.0277777779999999</v>
      </c>
      <c r="G17">
        <v>1.18288053</v>
      </c>
      <c r="H17">
        <v>1</v>
      </c>
      <c r="I17">
        <v>5</v>
      </c>
      <c r="J17">
        <v>14</v>
      </c>
      <c r="K17">
        <v>15</v>
      </c>
      <c r="L17">
        <v>1</v>
      </c>
      <c r="M17">
        <v>4</v>
      </c>
      <c r="N17">
        <v>2</v>
      </c>
      <c r="P17">
        <v>0</v>
      </c>
    </row>
    <row r="18" spans="1:16" x14ac:dyDescent="0.35">
      <c r="A18" t="s">
        <v>231</v>
      </c>
      <c r="B18" t="s">
        <v>232</v>
      </c>
      <c r="C18">
        <v>36</v>
      </c>
      <c r="D18">
        <v>0</v>
      </c>
      <c r="E18">
        <f t="shared" si="0"/>
        <v>3.861111111</v>
      </c>
      <c r="F18">
        <v>2.138888889</v>
      </c>
      <c r="G18">
        <v>1.1251102239999999</v>
      </c>
      <c r="H18">
        <v>1</v>
      </c>
      <c r="I18">
        <v>5</v>
      </c>
      <c r="J18">
        <v>11</v>
      </c>
      <c r="K18">
        <v>16</v>
      </c>
      <c r="L18">
        <v>4</v>
      </c>
      <c r="M18">
        <v>3</v>
      </c>
      <c r="N18">
        <v>2</v>
      </c>
      <c r="P18">
        <v>0</v>
      </c>
    </row>
    <row r="19" spans="1:16" x14ac:dyDescent="0.35">
      <c r="A19" t="s">
        <v>255</v>
      </c>
      <c r="B19" t="s">
        <v>256</v>
      </c>
      <c r="C19">
        <v>36</v>
      </c>
      <c r="D19">
        <v>0</v>
      </c>
      <c r="E19">
        <f t="shared" si="0"/>
        <v>4.2222222220000001</v>
      </c>
      <c r="F19">
        <v>1.7777777779999999</v>
      </c>
      <c r="G19">
        <v>0.89796949100000001</v>
      </c>
      <c r="H19">
        <v>1</v>
      </c>
      <c r="I19">
        <v>4</v>
      </c>
      <c r="J19">
        <v>16</v>
      </c>
      <c r="K19">
        <v>15</v>
      </c>
      <c r="L19">
        <v>2</v>
      </c>
      <c r="M19">
        <v>3</v>
      </c>
      <c r="N19">
        <v>0</v>
      </c>
      <c r="P19">
        <v>0</v>
      </c>
    </row>
    <row r="22" spans="1:16" x14ac:dyDescent="0.35">
      <c r="H22" t="s">
        <v>505</v>
      </c>
    </row>
    <row r="23" spans="1:16" x14ac:dyDescent="0.35">
      <c r="F23" t="s">
        <v>503</v>
      </c>
      <c r="G23">
        <f>SUM(F2:F19)</f>
        <v>35.305555558000002</v>
      </c>
    </row>
    <row r="24" spans="1:16" x14ac:dyDescent="0.35">
      <c r="F24" t="s">
        <v>504</v>
      </c>
      <c r="G24">
        <f>G23/18</f>
        <v>1.9614197532222224</v>
      </c>
      <c r="H24">
        <f>6-G24</f>
        <v>4.0385802467777774</v>
      </c>
    </row>
    <row r="26" spans="1:16" x14ac:dyDescent="0.35">
      <c r="F26" t="s">
        <v>502</v>
      </c>
      <c r="G26">
        <f>SUM(G2:G19)</f>
        <v>17.325461612000002</v>
      </c>
    </row>
    <row r="27" spans="1:16" x14ac:dyDescent="0.35">
      <c r="F27" t="s">
        <v>501</v>
      </c>
      <c r="G27">
        <f>SUM(G26/18)</f>
        <v>0.96252564511111116</v>
      </c>
    </row>
  </sheetData>
  <autoFilter ref="A1:P1" xr:uid="{95DB01FA-0F51-46E2-8A55-BF1FD969A3DB}">
    <sortState xmlns:xlrd2="http://schemas.microsoft.com/office/spreadsheetml/2017/richdata2" ref="A2:P19">
      <sortCondition ref="A1"/>
    </sortState>
  </autoFilter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69CC0-398C-4B2B-A6E4-83F754D3F301}">
  <dimension ref="A1:P27"/>
  <sheetViews>
    <sheetView topLeftCell="A4" workbookViewId="0">
      <selection activeCell="C21" sqref="C21:C22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505</v>
      </c>
      <c r="F1" t="s">
        <v>4</v>
      </c>
      <c r="G1" t="s">
        <v>5</v>
      </c>
      <c r="H1" t="s">
        <v>6</v>
      </c>
      <c r="I1" t="s">
        <v>7</v>
      </c>
      <c r="J1">
        <v>1</v>
      </c>
      <c r="K1">
        <v>2</v>
      </c>
      <c r="L1">
        <v>3</v>
      </c>
      <c r="M1">
        <v>4</v>
      </c>
      <c r="N1">
        <v>5</v>
      </c>
      <c r="O1">
        <v>22</v>
      </c>
      <c r="P1" t="s">
        <v>8</v>
      </c>
    </row>
    <row r="2" spans="1:16" x14ac:dyDescent="0.35">
      <c r="A2" t="s">
        <v>61</v>
      </c>
      <c r="B2" t="s">
        <v>62</v>
      </c>
      <c r="C2">
        <v>36</v>
      </c>
      <c r="D2">
        <v>0</v>
      </c>
      <c r="E2">
        <f>6-F2</f>
        <v>3.9444444440000002</v>
      </c>
      <c r="F2">
        <v>2.0555555559999998</v>
      </c>
      <c r="G2">
        <v>1.169723885</v>
      </c>
      <c r="H2">
        <v>1</v>
      </c>
      <c r="I2">
        <v>5</v>
      </c>
      <c r="J2">
        <v>14</v>
      </c>
      <c r="K2">
        <v>13</v>
      </c>
      <c r="L2">
        <v>4</v>
      </c>
      <c r="M2">
        <v>3</v>
      </c>
      <c r="N2">
        <v>2</v>
      </c>
      <c r="P2">
        <v>0</v>
      </c>
    </row>
    <row r="3" spans="1:16" x14ac:dyDescent="0.35">
      <c r="A3" t="s">
        <v>435</v>
      </c>
      <c r="B3" t="s">
        <v>436</v>
      </c>
      <c r="C3">
        <v>36</v>
      </c>
      <c r="D3">
        <v>0</v>
      </c>
      <c r="E3">
        <f t="shared" ref="E3:E19" si="0">6-F3</f>
        <v>3.8333333330000001</v>
      </c>
      <c r="F3">
        <v>2.1666666669999999</v>
      </c>
      <c r="G3">
        <v>1.1338934190000001</v>
      </c>
      <c r="H3">
        <v>1</v>
      </c>
      <c r="I3">
        <v>5</v>
      </c>
      <c r="J3">
        <v>11</v>
      </c>
      <c r="K3">
        <v>15</v>
      </c>
      <c r="L3">
        <v>5</v>
      </c>
      <c r="M3">
        <v>3</v>
      </c>
      <c r="N3">
        <v>2</v>
      </c>
      <c r="P3">
        <v>0</v>
      </c>
    </row>
    <row r="4" spans="1:16" x14ac:dyDescent="0.35">
      <c r="A4" t="s">
        <v>75</v>
      </c>
      <c r="B4" t="s">
        <v>76</v>
      </c>
      <c r="C4">
        <v>36</v>
      </c>
      <c r="D4">
        <v>0</v>
      </c>
      <c r="E4" s="2">
        <f t="shared" si="0"/>
        <v>2.3333333330000001</v>
      </c>
      <c r="F4">
        <v>3.6666666669999999</v>
      </c>
      <c r="G4">
        <v>1.4540583600000001</v>
      </c>
      <c r="H4">
        <v>1</v>
      </c>
      <c r="I4">
        <v>5</v>
      </c>
      <c r="J4">
        <v>3</v>
      </c>
      <c r="K4">
        <v>8</v>
      </c>
      <c r="L4">
        <v>3</v>
      </c>
      <c r="M4">
        <v>6</v>
      </c>
      <c r="N4">
        <v>16</v>
      </c>
      <c r="P4">
        <v>0</v>
      </c>
    </row>
    <row r="5" spans="1:16" x14ac:dyDescent="0.35">
      <c r="A5" t="s">
        <v>411</v>
      </c>
      <c r="B5" t="s">
        <v>412</v>
      </c>
      <c r="C5">
        <v>36</v>
      </c>
      <c r="D5">
        <v>0</v>
      </c>
      <c r="E5">
        <f t="shared" si="0"/>
        <v>3.388888889</v>
      </c>
      <c r="F5">
        <v>2.611111111</v>
      </c>
      <c r="G5">
        <v>1.2018504249999999</v>
      </c>
      <c r="H5">
        <v>1</v>
      </c>
      <c r="I5">
        <v>5</v>
      </c>
      <c r="J5">
        <v>6</v>
      </c>
      <c r="K5">
        <v>15</v>
      </c>
      <c r="L5">
        <v>4</v>
      </c>
      <c r="M5">
        <v>9</v>
      </c>
      <c r="N5">
        <v>2</v>
      </c>
      <c r="P5">
        <v>0</v>
      </c>
    </row>
    <row r="6" spans="1:16" x14ac:dyDescent="0.35">
      <c r="A6" t="s">
        <v>399</v>
      </c>
      <c r="B6" t="s">
        <v>400</v>
      </c>
      <c r="C6">
        <v>36</v>
      </c>
      <c r="D6">
        <v>0</v>
      </c>
      <c r="E6">
        <f t="shared" si="0"/>
        <v>3.8055555559999998</v>
      </c>
      <c r="F6">
        <v>2.1944444440000002</v>
      </c>
      <c r="G6">
        <v>1.190904685</v>
      </c>
      <c r="H6">
        <v>1</v>
      </c>
      <c r="I6">
        <v>5</v>
      </c>
      <c r="J6">
        <v>11</v>
      </c>
      <c r="K6">
        <v>16</v>
      </c>
      <c r="L6">
        <v>2</v>
      </c>
      <c r="M6">
        <v>5</v>
      </c>
      <c r="N6">
        <v>2</v>
      </c>
      <c r="P6">
        <v>0</v>
      </c>
    </row>
    <row r="7" spans="1:16" x14ac:dyDescent="0.35">
      <c r="A7" t="s">
        <v>27</v>
      </c>
      <c r="B7" t="s">
        <v>28</v>
      </c>
      <c r="C7">
        <v>36</v>
      </c>
      <c r="D7">
        <v>0</v>
      </c>
      <c r="E7">
        <f t="shared" si="0"/>
        <v>4</v>
      </c>
      <c r="F7">
        <v>2</v>
      </c>
      <c r="G7">
        <v>1.242118007</v>
      </c>
      <c r="H7">
        <v>1</v>
      </c>
      <c r="I7">
        <v>5</v>
      </c>
      <c r="J7">
        <v>15</v>
      </c>
      <c r="K7">
        <v>14</v>
      </c>
      <c r="L7">
        <v>3</v>
      </c>
      <c r="M7">
        <v>0</v>
      </c>
      <c r="N7">
        <v>4</v>
      </c>
      <c r="P7">
        <v>0</v>
      </c>
    </row>
    <row r="8" spans="1:16" x14ac:dyDescent="0.35">
      <c r="A8" t="s">
        <v>375</v>
      </c>
      <c r="B8" t="s">
        <v>376</v>
      </c>
      <c r="C8">
        <v>36</v>
      </c>
      <c r="D8">
        <v>0</v>
      </c>
      <c r="E8">
        <f t="shared" si="0"/>
        <v>3.9722222220000001</v>
      </c>
      <c r="F8">
        <v>2.0277777779999999</v>
      </c>
      <c r="G8">
        <v>0.94070220299999996</v>
      </c>
      <c r="H8">
        <v>1</v>
      </c>
      <c r="I8">
        <v>4</v>
      </c>
      <c r="J8">
        <v>11</v>
      </c>
      <c r="K8">
        <v>17</v>
      </c>
      <c r="L8">
        <v>4</v>
      </c>
      <c r="M8">
        <v>4</v>
      </c>
      <c r="N8">
        <v>0</v>
      </c>
      <c r="P8">
        <v>0</v>
      </c>
    </row>
    <row r="9" spans="1:16" x14ac:dyDescent="0.35">
      <c r="A9" t="s">
        <v>111</v>
      </c>
      <c r="B9" t="s">
        <v>112</v>
      </c>
      <c r="C9">
        <v>36</v>
      </c>
      <c r="D9">
        <v>0</v>
      </c>
      <c r="E9">
        <f t="shared" si="0"/>
        <v>3.2777777779999999</v>
      </c>
      <c r="F9">
        <v>2.7222222220000001</v>
      </c>
      <c r="G9">
        <v>1.136689708</v>
      </c>
      <c r="H9">
        <v>1</v>
      </c>
      <c r="I9">
        <v>5</v>
      </c>
      <c r="J9">
        <v>3</v>
      </c>
      <c r="K9">
        <v>16</v>
      </c>
      <c r="L9">
        <v>9</v>
      </c>
      <c r="M9">
        <v>4</v>
      </c>
      <c r="N9">
        <v>4</v>
      </c>
      <c r="P9">
        <v>0</v>
      </c>
    </row>
    <row r="10" spans="1:16" x14ac:dyDescent="0.35">
      <c r="A10" t="s">
        <v>351</v>
      </c>
      <c r="B10" t="s">
        <v>352</v>
      </c>
      <c r="C10">
        <v>36</v>
      </c>
      <c r="D10">
        <v>0</v>
      </c>
      <c r="E10" s="5">
        <f t="shared" si="0"/>
        <v>4.0277777779999999</v>
      </c>
      <c r="F10">
        <v>1.9722222220000001</v>
      </c>
      <c r="G10">
        <v>0.970599553</v>
      </c>
      <c r="H10">
        <v>1</v>
      </c>
      <c r="I10">
        <v>5</v>
      </c>
      <c r="J10">
        <v>12</v>
      </c>
      <c r="K10">
        <v>17</v>
      </c>
      <c r="L10">
        <v>4</v>
      </c>
      <c r="M10">
        <v>2</v>
      </c>
      <c r="N10">
        <v>1</v>
      </c>
      <c r="P10">
        <v>0</v>
      </c>
    </row>
    <row r="11" spans="1:16" x14ac:dyDescent="0.35">
      <c r="A11" t="s">
        <v>123</v>
      </c>
      <c r="B11" t="s">
        <v>124</v>
      </c>
      <c r="C11">
        <v>36</v>
      </c>
      <c r="D11">
        <v>0</v>
      </c>
      <c r="E11">
        <f t="shared" si="0"/>
        <v>2.4444444440000002</v>
      </c>
      <c r="F11">
        <v>3.5555555559999998</v>
      </c>
      <c r="G11">
        <v>1.229272594</v>
      </c>
      <c r="H11">
        <v>1</v>
      </c>
      <c r="I11">
        <v>5</v>
      </c>
      <c r="J11">
        <v>1</v>
      </c>
      <c r="K11">
        <v>10</v>
      </c>
      <c r="L11">
        <v>2</v>
      </c>
      <c r="M11">
        <v>14</v>
      </c>
      <c r="N11">
        <v>9</v>
      </c>
      <c r="P11">
        <v>0</v>
      </c>
    </row>
    <row r="12" spans="1:16" x14ac:dyDescent="0.35">
      <c r="A12" t="s">
        <v>339</v>
      </c>
      <c r="B12" t="s">
        <v>340</v>
      </c>
      <c r="C12">
        <v>36</v>
      </c>
      <c r="D12">
        <v>0</v>
      </c>
      <c r="E12">
        <f t="shared" si="0"/>
        <v>4</v>
      </c>
      <c r="F12">
        <v>2</v>
      </c>
      <c r="G12">
        <v>0.82807867099999999</v>
      </c>
      <c r="H12">
        <v>1</v>
      </c>
      <c r="I12">
        <v>4</v>
      </c>
      <c r="J12">
        <v>10</v>
      </c>
      <c r="K12">
        <v>18</v>
      </c>
      <c r="L12">
        <v>6</v>
      </c>
      <c r="M12">
        <v>2</v>
      </c>
      <c r="N12">
        <v>0</v>
      </c>
      <c r="P12">
        <v>0</v>
      </c>
    </row>
    <row r="13" spans="1:16" x14ac:dyDescent="0.35">
      <c r="A13" t="s">
        <v>171</v>
      </c>
      <c r="B13" t="s">
        <v>172</v>
      </c>
      <c r="C13">
        <v>36</v>
      </c>
      <c r="D13">
        <v>0</v>
      </c>
      <c r="E13">
        <f t="shared" si="0"/>
        <v>3.6666666669999999</v>
      </c>
      <c r="F13">
        <v>2.3333333330000001</v>
      </c>
      <c r="G13">
        <v>1.095445115</v>
      </c>
      <c r="H13">
        <v>1</v>
      </c>
      <c r="I13">
        <v>5</v>
      </c>
      <c r="J13">
        <v>8</v>
      </c>
      <c r="K13">
        <v>16</v>
      </c>
      <c r="L13">
        <v>5</v>
      </c>
      <c r="M13">
        <v>6</v>
      </c>
      <c r="N13">
        <v>1</v>
      </c>
      <c r="P13">
        <v>0</v>
      </c>
    </row>
    <row r="14" spans="1:16" x14ac:dyDescent="0.35">
      <c r="A14" t="s">
        <v>315</v>
      </c>
      <c r="B14" t="s">
        <v>316</v>
      </c>
      <c r="C14">
        <v>36</v>
      </c>
      <c r="D14">
        <v>0</v>
      </c>
      <c r="E14">
        <f t="shared" si="0"/>
        <v>3.9722222220000001</v>
      </c>
      <c r="F14">
        <v>2.0277777779999999</v>
      </c>
      <c r="G14">
        <v>0.87785814399999995</v>
      </c>
      <c r="H14">
        <v>1</v>
      </c>
      <c r="I14">
        <v>4</v>
      </c>
      <c r="J14">
        <v>10</v>
      </c>
      <c r="K14">
        <v>18</v>
      </c>
      <c r="L14">
        <v>5</v>
      </c>
      <c r="M14">
        <v>3</v>
      </c>
      <c r="N14">
        <v>0</v>
      </c>
      <c r="P14">
        <v>0</v>
      </c>
    </row>
    <row r="15" spans="1:16" x14ac:dyDescent="0.35">
      <c r="A15" t="s">
        <v>195</v>
      </c>
      <c r="B15" t="s">
        <v>196</v>
      </c>
      <c r="C15">
        <v>36</v>
      </c>
      <c r="D15">
        <v>0</v>
      </c>
      <c r="E15">
        <f>6-F15</f>
        <v>3.888888889</v>
      </c>
      <c r="F15">
        <v>2.111111111</v>
      </c>
      <c r="G15">
        <v>1.0079052610000001</v>
      </c>
      <c r="H15">
        <v>1</v>
      </c>
      <c r="I15">
        <v>5</v>
      </c>
      <c r="J15">
        <v>10</v>
      </c>
      <c r="K15">
        <v>17</v>
      </c>
      <c r="L15">
        <v>5</v>
      </c>
      <c r="M15">
        <v>3</v>
      </c>
      <c r="N15">
        <v>1</v>
      </c>
      <c r="P15">
        <v>0</v>
      </c>
    </row>
    <row r="16" spans="1:16" x14ac:dyDescent="0.35">
      <c r="A16" t="s">
        <v>291</v>
      </c>
      <c r="B16" t="s">
        <v>292</v>
      </c>
      <c r="C16">
        <v>36</v>
      </c>
      <c r="D16">
        <v>0</v>
      </c>
      <c r="E16">
        <f t="shared" si="0"/>
        <v>3.8333333330000001</v>
      </c>
      <c r="F16">
        <v>2.1666666669999999</v>
      </c>
      <c r="G16">
        <v>0.94112394799999999</v>
      </c>
      <c r="H16">
        <v>1</v>
      </c>
      <c r="I16">
        <v>4</v>
      </c>
      <c r="J16">
        <v>9</v>
      </c>
      <c r="K16">
        <v>16</v>
      </c>
      <c r="L16">
        <v>7</v>
      </c>
      <c r="M16">
        <v>4</v>
      </c>
      <c r="N16">
        <v>0</v>
      </c>
      <c r="P16">
        <v>0</v>
      </c>
    </row>
    <row r="17" spans="1:16" x14ac:dyDescent="0.35">
      <c r="A17" t="s">
        <v>219</v>
      </c>
      <c r="B17" t="s">
        <v>220</v>
      </c>
      <c r="C17">
        <v>36</v>
      </c>
      <c r="D17">
        <v>0</v>
      </c>
      <c r="E17">
        <f t="shared" si="0"/>
        <v>3.611111111</v>
      </c>
      <c r="F17">
        <v>2.388888889</v>
      </c>
      <c r="G17">
        <v>1.128280051</v>
      </c>
      <c r="H17">
        <v>1</v>
      </c>
      <c r="I17">
        <v>5</v>
      </c>
      <c r="J17">
        <v>6</v>
      </c>
      <c r="K17">
        <v>20</v>
      </c>
      <c r="L17">
        <v>2</v>
      </c>
      <c r="M17">
        <v>6</v>
      </c>
      <c r="N17">
        <v>2</v>
      </c>
      <c r="P17">
        <v>0</v>
      </c>
    </row>
    <row r="18" spans="1:16" x14ac:dyDescent="0.35">
      <c r="A18" t="s">
        <v>267</v>
      </c>
      <c r="B18" t="s">
        <v>268</v>
      </c>
      <c r="C18">
        <v>36</v>
      </c>
      <c r="D18">
        <v>0</v>
      </c>
      <c r="E18">
        <f t="shared" si="0"/>
        <v>3.361111111</v>
      </c>
      <c r="F18">
        <v>2.638888889</v>
      </c>
      <c r="G18">
        <v>1.1988751339999999</v>
      </c>
      <c r="H18">
        <v>1</v>
      </c>
      <c r="I18">
        <v>5</v>
      </c>
      <c r="J18">
        <v>4</v>
      </c>
      <c r="K18">
        <v>18</v>
      </c>
      <c r="L18">
        <v>5</v>
      </c>
      <c r="M18">
        <v>5</v>
      </c>
      <c r="N18">
        <v>4</v>
      </c>
      <c r="P18">
        <v>0</v>
      </c>
    </row>
    <row r="19" spans="1:16" x14ac:dyDescent="0.35">
      <c r="A19" t="s">
        <v>243</v>
      </c>
      <c r="B19" t="s">
        <v>244</v>
      </c>
      <c r="C19">
        <v>36</v>
      </c>
      <c r="D19">
        <v>0</v>
      </c>
      <c r="E19">
        <f t="shared" si="0"/>
        <v>3.25</v>
      </c>
      <c r="F19">
        <v>2.75</v>
      </c>
      <c r="G19">
        <v>1.317465098</v>
      </c>
      <c r="H19">
        <v>1</v>
      </c>
      <c r="I19">
        <v>5</v>
      </c>
      <c r="J19">
        <v>6</v>
      </c>
      <c r="K19">
        <v>14</v>
      </c>
      <c r="L19">
        <v>3</v>
      </c>
      <c r="M19">
        <v>9</v>
      </c>
      <c r="N19">
        <v>4</v>
      </c>
      <c r="P19">
        <v>0</v>
      </c>
    </row>
    <row r="22" spans="1:16" x14ac:dyDescent="0.35">
      <c r="H22" t="s">
        <v>505</v>
      </c>
    </row>
    <row r="23" spans="1:16" x14ac:dyDescent="0.35">
      <c r="F23" t="s">
        <v>503</v>
      </c>
      <c r="G23">
        <f>SUM(F2:F19)</f>
        <v>43.388888889999997</v>
      </c>
    </row>
    <row r="24" spans="1:16" x14ac:dyDescent="0.35">
      <c r="F24" t="s">
        <v>504</v>
      </c>
      <c r="G24">
        <f>G23/18</f>
        <v>2.4104938272222221</v>
      </c>
      <c r="H24">
        <f>6-G24</f>
        <v>3.5895061727777779</v>
      </c>
    </row>
    <row r="26" spans="1:16" x14ac:dyDescent="0.35">
      <c r="F26" t="s">
        <v>502</v>
      </c>
      <c r="G26">
        <f>SUM(G2:G19)</f>
        <v>20.064844261000001</v>
      </c>
    </row>
    <row r="27" spans="1:16" x14ac:dyDescent="0.35">
      <c r="F27" t="s">
        <v>501</v>
      </c>
      <c r="G27">
        <f>SUM(G26/18)</f>
        <v>1.1147135700555557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42f063bf-ce3a-473c-8609-3866002c85b0}" enabled="1" method="Standard" siteId="{b914a242-e718-443b-a47c-6b4c649d8c0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frequencies_CBR-RAG_2026-03-31_</vt:lpstr>
      <vt:lpstr>Visualization</vt:lpstr>
      <vt:lpstr>helpfulness_RAG</vt:lpstr>
      <vt:lpstr>helpfulness_LLM</vt:lpstr>
      <vt:lpstr>clarity_RAG</vt:lpstr>
      <vt:lpstr>clarity_LLM</vt:lpstr>
      <vt:lpstr>naturalness_RAG</vt:lpstr>
      <vt:lpstr>naturalness_LLM</vt:lpstr>
      <vt:lpstr>length_appropriateness _RAG</vt:lpstr>
      <vt:lpstr>length_appropriateness _LLM</vt:lpstr>
      <vt:lpstr>trustworthiness_RAG </vt:lpstr>
      <vt:lpstr>trustworthiness_LLM </vt:lpstr>
      <vt:lpstr>process_grounding_RAG</vt:lpstr>
      <vt:lpstr>process_grounding_LLM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Asgari, Yassamin</dc:creator>
  <cp:lastModifiedBy>Asgari, Yassamin</cp:lastModifiedBy>
  <dcterms:created xsi:type="dcterms:W3CDTF">2026-04-07T07:23:47Z</dcterms:created>
  <dcterms:modified xsi:type="dcterms:W3CDTF">2026-05-07T19:15:24Z</dcterms:modified>
</cp:coreProperties>
</file>